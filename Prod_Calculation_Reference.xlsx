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eou/Downloads/"/>
    </mc:Choice>
  </mc:AlternateContent>
  <xr:revisionPtr revIDLastSave="0" documentId="13_ncr:1_{5446F237-F66E-2243-B4EC-D1EA39FF337B}" xr6:coauthVersionLast="47" xr6:coauthVersionMax="47" xr10:uidLastSave="{00000000-0000-0000-0000-000000000000}"/>
  <bookViews>
    <workbookView xWindow="0" yWindow="0" windowWidth="51200" windowHeight="28800" tabRatio="500" activeTab="5" xr2:uid="{00000000-000D-0000-FFFF-FFFF00000000}"/>
  </bookViews>
  <sheets>
    <sheet name="Overview" sheetId="1" r:id="rId1"/>
    <sheet name="Skill Reference" sheetId="2" r:id="rId2"/>
    <sheet name="Skill Rating Calc" sheetId="3" r:id="rId3"/>
    <sheet name="Final Production Rate" sheetId="4" r:id="rId4"/>
    <sheet name="DPU &amp; DPO" sheetId="5" r:id="rId5"/>
    <sheet name="Pass-Fail &amp; Team Metric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6" l="1"/>
  <c r="G14" i="6"/>
  <c r="G13" i="6"/>
  <c r="G12" i="6"/>
  <c r="G11" i="6"/>
  <c r="G10" i="6"/>
  <c r="G9" i="6"/>
  <c r="D13" i="5"/>
  <c r="C13" i="5"/>
  <c r="B13" i="5"/>
  <c r="E11" i="5"/>
  <c r="E10" i="5"/>
  <c r="D11" i="4"/>
  <c r="G10" i="4"/>
  <c r="E10" i="4"/>
  <c r="C10" i="4"/>
  <c r="G9" i="4"/>
  <c r="E9" i="4"/>
  <c r="C9" i="4"/>
  <c r="G8" i="4"/>
  <c r="C8" i="4"/>
  <c r="D12" i="3"/>
  <c r="C12" i="3"/>
  <c r="D11" i="3"/>
  <c r="C11" i="3"/>
  <c r="D10" i="3"/>
  <c r="C10" i="3"/>
  <c r="D9" i="3"/>
  <c r="C9" i="3"/>
  <c r="D8" i="3"/>
  <c r="C8" i="3"/>
  <c r="B21" i="6" l="1"/>
  <c r="F9" i="4"/>
  <c r="H9" i="4" s="1"/>
  <c r="B15" i="5"/>
  <c r="F11" i="5"/>
  <c r="F10" i="4"/>
  <c r="H10" i="4" s="1"/>
  <c r="E8" i="4"/>
  <c r="F8" i="4" s="1"/>
  <c r="H8" i="4" s="1"/>
  <c r="E12" i="3"/>
  <c r="E11" i="3"/>
  <c r="E9" i="3"/>
  <c r="E10" i="3"/>
  <c r="E8" i="3"/>
  <c r="B17" i="6"/>
  <c r="F10" i="5"/>
  <c r="F13" i="5" s="1"/>
  <c r="B16" i="5" s="1"/>
  <c r="B20" i="6"/>
  <c r="F12" i="3" l="1"/>
  <c r="G12" i="3"/>
  <c r="H12" i="3"/>
  <c r="I12" i="3"/>
  <c r="F11" i="3"/>
  <c r="G11" i="3"/>
  <c r="H11" i="3"/>
  <c r="I11" i="3"/>
  <c r="F9" i="3"/>
  <c r="G9" i="3"/>
  <c r="H9" i="3"/>
  <c r="I9" i="3"/>
  <c r="F10" i="3"/>
  <c r="G10" i="3"/>
  <c r="H10" i="3"/>
  <c r="I10" i="3"/>
  <c r="F8" i="3"/>
  <c r="G8" i="3"/>
  <c r="H8" i="3"/>
  <c r="I8" i="3"/>
  <c r="H12" i="4"/>
  <c r="B1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9" authorId="0" shapeId="0" xr:uid="{00000000-0006-0000-0100-000002000000}">
      <text>
        <r>
          <rPr>
            <sz val="10"/>
            <color rgb="FF000000"/>
            <rFont val="Arial"/>
            <family val="2"/>
          </rPr>
          <t>No specific Attributes value configured for this skill — falls back to the app's default of 23.</t>
        </r>
      </text>
    </comment>
    <comment ref="C10" authorId="0" shapeId="0" xr:uid="{00000000-0006-0000-0100-000003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1" authorId="0" shapeId="0" xr:uid="{00000000-0006-0000-0100-000004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2" authorId="0" shapeId="0" xr:uid="{00000000-0006-0000-0100-000005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3" authorId="0" shapeId="0" xr:uid="{00000000-0006-0000-0100-000006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4" authorId="0" shapeId="0" xr:uid="{00000000-0006-0000-0100-000007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5" authorId="0" shapeId="0" xr:uid="{00000000-0006-0000-0100-000008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6" authorId="0" shapeId="0" xr:uid="{00000000-0006-0000-0100-000009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17" authorId="0" shapeId="0" xr:uid="{00000000-0006-0000-0100-00000A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23" authorId="0" shapeId="0" xr:uid="{00000000-0006-0000-0100-00000B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  <comment ref="C24" authorId="0" shapeId="0" xr:uid="{00000000-0006-0000-0100-00000C000000}">
      <text>
        <r>
          <rPr>
            <sz val="10"/>
            <rFont val="Arial"/>
            <family val="2"/>
          </rPr>
          <t>No specific Attributes value configured for this skill — falls back to the app's default of 23.</t>
        </r>
      </text>
    </comment>
  </commentList>
</comments>
</file>

<file path=xl/sharedStrings.xml><?xml version="1.0" encoding="utf-8"?>
<sst xmlns="http://schemas.openxmlformats.org/spreadsheetml/2006/main" count="151" uniqueCount="106">
  <si>
    <t>Prod_calculation — Calculation Reference</t>
  </si>
  <si>
    <t>A working reference of every formula used in the Prod_calculation dashboard, with live examples on each tab.</t>
  </si>
  <si>
    <t>Tab</t>
  </si>
  <si>
    <t>What it covers</t>
  </si>
  <si>
    <t>Skill Reference</t>
  </si>
  <si>
    <t>The 19 configured skills — Target, Rating 1-5 thresholds, and whether a lower Actual is better (AHT-type skills).</t>
  </si>
  <si>
    <t>Skill Rating Calc</t>
  </si>
  <si>
    <t>How a single skill's Actual/Target becomes a 1.0-5.0 rating — the step-vs-interpolate rule, worked example with live formulas.</t>
  </si>
  <si>
    <t>Final Production Rate</t>
  </si>
  <si>
    <t>How per-skill ratings combine into one employee's Final Production Rate, weighted by Production Hours.</t>
  </si>
  <si>
    <t>DPU &amp; DPO</t>
  </si>
  <si>
    <t>The two quality metrics from the Quality tab — Defects Per Unit and Defects Per Opportunity — worked example.</t>
  </si>
  <si>
    <t>Pass-Fail &amp; Team Metrics</t>
  </si>
  <si>
    <t>The Pass/Fail rule, Team Pass Rate, Prod Penetration Rate, and Supervisor/Manager PAR%.</t>
  </si>
  <si>
    <t>Blue text = an input you can change to test the calculation. Black text = a formula that recalculates automatically. Every number here matches the live logic in the Prod_calculation website as of the date this file was generated.</t>
  </si>
  <si>
    <t>General notes: Employees are grouped by EID (not name) across tabs. Supervisor and Manager are independent fields, not a hierarchy — an employee has both, and PAR% can be computed either way. Rating-threshold edits are locked in the live app (session-only for Target); this workbook mirrors the values currently baked into the app's code.</t>
  </si>
  <si>
    <t>Skill Reference Table</t>
  </si>
  <si>
    <t>Exact values currently configured in the Prod_calculation app (as of this file's generation).</t>
  </si>
  <si>
    <t>Skill</t>
  </si>
  <si>
    <t>Target</t>
  </si>
  <si>
    <t>Attributes
(DPO)</t>
  </si>
  <si>
    <t>Lower is
Better?</t>
  </si>
  <si>
    <t>Rating 5</t>
  </si>
  <si>
    <t>Rating 4</t>
  </si>
  <si>
    <t>Rating 3</t>
  </si>
  <si>
    <t>Rating 2</t>
  </si>
  <si>
    <t>Rating 1</t>
  </si>
  <si>
    <t>OCN</t>
  </si>
  <si>
    <t>No</t>
  </si>
  <si>
    <t>Outreach</t>
  </si>
  <si>
    <t>B vs D</t>
  </si>
  <si>
    <t>EDITS</t>
  </si>
  <si>
    <t>C&amp;S Pharma Admin</t>
  </si>
  <si>
    <t>C&amp;S Appeals Verification</t>
  </si>
  <si>
    <t>AV Commercial</t>
  </si>
  <si>
    <t>Clinical Appeals</t>
  </si>
  <si>
    <t>A&amp;M - Cancellation WB</t>
  </si>
  <si>
    <t>A&amp;M - Cancellation SP</t>
  </si>
  <si>
    <t>A&amp;M - Live</t>
  </si>
  <si>
    <t>Outreach Denial</t>
  </si>
  <si>
    <t>OBD Phone</t>
  </si>
  <si>
    <t>Yes</t>
  </si>
  <si>
    <t>PartD_Phones</t>
  </si>
  <si>
    <t>Gen_Phones</t>
  </si>
  <si>
    <t>Fax</t>
  </si>
  <si>
    <t>GLP_1</t>
  </si>
  <si>
    <t>UHC_west</t>
  </si>
  <si>
    <t>Clinical Appeals Phone</t>
  </si>
  <si>
    <t>Misroutes</t>
  </si>
  <si>
    <t>Attributes without a specific value fall back to a default of 23 per audit (used only when the Quality tab's Skill column doesn't match a configured skill). "Lower is Better" skills flip the ratio formula: Ratio = Target / Actual instead of Actual / Target — these are the AHT-type skills where a faster handle time is the goal.</t>
  </si>
  <si>
    <t>How a Single Skill's Rating Is Calculated</t>
  </si>
  <si>
    <t>Change the blue cells (Skill name, Actual) and watch the Rating recalculate.</t>
  </si>
  <si>
    <t>RULE — Below the Rating 3 threshold, the rating is a flat STEP (no interpolation): Ratio at or below Rating 1 threshold -&gt; 1.0 flat. Between Rating 1 and Rating 2 thresholds -&gt; 1.0 flat. Between Rating 2 and Rating 3 thresholds -&gt; 2.0 flat. AT OR ABOVE the Rating 3 threshold, the rating IS linearly interpolated between whichever two consecutive thresholds it falls between (3-4 or 4-5 band), capped at 5.0 above the Rating 5 threshold.</t>
  </si>
  <si>
    <t>Actual</t>
  </si>
  <si>
    <t>Target
(looked up)</t>
  </si>
  <si>
    <t>Lower
Better?</t>
  </si>
  <si>
    <t>Ratio</t>
  </si>
  <si>
    <t>Min Thr</t>
  </si>
  <si>
    <t>Max Thr</t>
  </si>
  <si>
    <t>Frac.</t>
  </si>
  <si>
    <t>Rating</t>
  </si>
  <si>
    <t>The first two Fax rows land below the Rating 3 threshold and get a flat 1.0 or 2.0 with no interpolation. The third and fourth rows are above Rating 3 and interpolate smoothly. The PartD_Phones row uses the flipped Ratio formula since it's a Lower-is-Better skill.</t>
  </si>
  <si>
    <t>Final Production Rate — Worked Example</t>
  </si>
  <si>
    <t>One employee across three skills. Change Actual or ProdHrs (blue cells) to see it recalculate.</t>
  </si>
  <si>
    <t>FORMULA — Each skill's Rating (1.0-5.0, from the 'Skill Rating Calc' logic) is weighted by that skill's share of the employee's total Production Hours: Weight = ProdHrs / SUM(all ProdHrs). Final Production Rate = SUM(Rating x Weight) across every skill the employee has.</t>
  </si>
  <si>
    <t>ProdHrs</t>
  </si>
  <si>
    <t>Weight</t>
  </si>
  <si>
    <t>Weighted
Score</t>
  </si>
  <si>
    <t>Total Production Hours</t>
  </si>
  <si>
    <t>FINAL PRODUCTION RATE</t>
  </si>
  <si>
    <t>Pass / Fail (rate only, see next tab for full rule)</t>
  </si>
  <si>
    <t>DPU &amp; DPO — Worked Example</t>
  </si>
  <si>
    <t>One employee's Quality-tab rows. Change Audits / Markdown / &lt;100 (blue cells) to see it recalculate.</t>
  </si>
  <si>
    <t>DPU (Defects Per Unit) = (Total Audits - Total &lt;100 scores) / Total Audits - summed across every Quality-tab row for the employee, regardless of skill.
DPO (Defects Per Opportunity) = (Total Attributes - Total Markdown) / Total Attributes, where each row's Attributes contribution = that row's own skill's Attributes value (from Skill Reference) x that row's Audits, then summed across all the employee's Quality rows.</t>
  </si>
  <si>
    <t>Audits</t>
  </si>
  <si>
    <t>Markdown</t>
  </si>
  <si>
    <t>&lt;100</t>
  </si>
  <si>
    <t>Attributes
(per audit)</t>
  </si>
  <si>
    <t>Row Attributes
(Attr x Audits)</t>
  </si>
  <si>
    <t>Totals</t>
  </si>
  <si>
    <t>DPU</t>
  </si>
  <si>
    <t>DPO</t>
  </si>
  <si>
    <t>Pass / Fail Rule &amp; Team Metrics</t>
  </si>
  <si>
    <t>A small roster demonstrating the Pass/Fail rule and the team-level rates built from it.</t>
  </si>
  <si>
    <t>PASS/FAIL RULE — an employee PASSES if Final Production Rate &gt;= 2.99 AND DPU &gt;= 95% AND DPO &gt;= 95%. If an employee has no DPU or DPO data at all (blank), that specific check is skipped and Pass depends only on Final Production Rate &gt;= 2.99. "Needs Review" = complete data that fails the Pass criteria. "Missing Data" = at least one skill missing its Target, thresholds, Actual, or ProdHrs (not modeled in this simplified roster).</t>
  </si>
  <si>
    <t>Employee</t>
  </si>
  <si>
    <t>Final Rate</t>
  </si>
  <si>
    <t>Supervisor</t>
  </si>
  <si>
    <t>Manager</t>
  </si>
  <si>
    <t>Status</t>
  </si>
  <si>
    <t>Employee A</t>
  </si>
  <si>
    <t>Lea</t>
  </si>
  <si>
    <t>Archie</t>
  </si>
  <si>
    <t>Employee B</t>
  </si>
  <si>
    <t>Employee C</t>
  </si>
  <si>
    <t>Test</t>
  </si>
  <si>
    <t>Employee D</t>
  </si>
  <si>
    <t>Beulah</t>
  </si>
  <si>
    <t>Employee E</t>
  </si>
  <si>
    <t>Employee F</t>
  </si>
  <si>
    <t>Team Pass Rate</t>
  </si>
  <si>
    <t>Prod Penetration Rate</t>
  </si>
  <si>
    <t>Looser than Team Pass Rate — only checks Final Production Rate, ignoring DPU/DPO entirely.</t>
  </si>
  <si>
    <t>Supervisor PAR% example ("Lea")</t>
  </si>
  <si>
    <t>Manager PAR% example ("Archie")</t>
  </si>
  <si>
    <t>Supervisor and Manager are independent groupings (every employee has both) — PAR% works identically for either.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</si>
</sst>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F1B33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777777"/>
      <name val="Arial"/>
      <family val="2"/>
    </font>
    <font>
      <b/>
      <sz val="14"/>
      <color rgb="FF0F1B33"/>
      <name val="Arial"/>
      <family val="2"/>
    </font>
    <font>
      <b/>
      <sz val="9"/>
      <color rgb="FFFFFFFF"/>
      <name val="Arial"/>
      <family val="2"/>
    </font>
    <font>
      <sz val="11"/>
      <color rgb="FF0000FF"/>
      <name val="Arial"/>
      <family val="2"/>
    </font>
    <font>
      <sz val="10"/>
      <color rgb="FF555555"/>
      <name val="Arial"/>
      <family val="2"/>
    </font>
    <font>
      <i/>
      <sz val="9"/>
      <color rgb="FF999999"/>
      <name val="Arial"/>
      <family val="2"/>
    </font>
    <font>
      <b/>
      <sz val="10"/>
      <color rgb="FFA9463A"/>
      <name val="Arial"/>
      <family val="2"/>
    </font>
    <font>
      <sz val="11"/>
      <color rgb="FF000000"/>
      <name val="Arial"/>
      <family val="2"/>
    </font>
    <font>
      <b/>
      <sz val="12"/>
      <color rgb="FF0F1B33"/>
      <name val="Arial"/>
      <family val="2"/>
    </font>
    <font>
      <i/>
      <sz val="8"/>
      <color rgb="FF777777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1B33"/>
        <bgColor rgb="FF003300"/>
      </patternFill>
    </fill>
    <fill>
      <patternFill patternType="solid">
        <fgColor rgb="FFF6F1E4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2" fontId="10" fillId="0" borderId="1" xfId="0" applyNumberFormat="1" applyFont="1" applyBorder="1"/>
    <xf numFmtId="1" fontId="10" fillId="0" borderId="1" xfId="0" applyNumberFormat="1" applyFont="1" applyBorder="1"/>
    <xf numFmtId="0" fontId="11" fillId="0" borderId="1" xfId="0" applyFont="1" applyBorder="1"/>
    <xf numFmtId="10" fontId="10" fillId="0" borderId="1" xfId="0" applyNumberFormat="1" applyFont="1" applyBorder="1"/>
    <xf numFmtId="1" fontId="12" fillId="0" borderId="1" xfId="0" applyNumberFormat="1" applyFont="1" applyBorder="1"/>
    <xf numFmtId="0" fontId="13" fillId="0" borderId="1" xfId="0" applyFont="1" applyBorder="1"/>
    <xf numFmtId="0" fontId="10" fillId="0" borderId="1" xfId="0" applyFont="1" applyBorder="1"/>
    <xf numFmtId="2" fontId="14" fillId="0" borderId="1" xfId="0" applyNumberFormat="1" applyFont="1" applyBorder="1"/>
    <xf numFmtId="0" fontId="14" fillId="0" borderId="1" xfId="0" applyFont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166" fontId="14" fillId="0" borderId="1" xfId="0" applyNumberFormat="1" applyFont="1" applyBorder="1"/>
    <xf numFmtId="165" fontId="15" fillId="3" borderId="1" xfId="0" applyNumberFormat="1" applyFont="1" applyFill="1" applyBorder="1"/>
    <xf numFmtId="0" fontId="6" fillId="0" borderId="0" xfId="0" applyFont="1"/>
    <xf numFmtId="1" fontId="14" fillId="0" borderId="1" xfId="0" applyNumberFormat="1" applyFont="1" applyBorder="1"/>
    <xf numFmtId="10" fontId="15" fillId="3" borderId="1" xfId="0" applyNumberFormat="1" applyFont="1" applyFill="1" applyBorder="1"/>
    <xf numFmtId="0" fontId="9" fillId="2" borderId="1" xfId="0" applyFont="1" applyFill="1" applyBorder="1" applyAlignment="1">
      <alignment horizontal="left" vertical="center"/>
    </xf>
    <xf numFmtId="165" fontId="10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A9463A"/>
      <rgbColor rgb="FFF6F1E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F1B3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Normal="100" workbookViewId="0">
      <selection activeCell="A13" sqref="A13:B13"/>
    </sheetView>
  </sheetViews>
  <sheetFormatPr baseColWidth="10" defaultColWidth="8.6640625" defaultRowHeight="15" x14ac:dyDescent="0.2"/>
  <cols>
    <col min="1" max="1" width="26" customWidth="1"/>
    <col min="2" max="2" width="90" customWidth="1"/>
  </cols>
  <sheetData>
    <row r="1" spans="1:2" ht="20" x14ac:dyDescent="0.2">
      <c r="A1" s="3" t="s">
        <v>0</v>
      </c>
    </row>
    <row r="2" spans="1:2" x14ac:dyDescent="0.2">
      <c r="A2" s="4" t="s">
        <v>1</v>
      </c>
    </row>
    <row r="4" spans="1:2" x14ac:dyDescent="0.2">
      <c r="A4" s="5" t="s">
        <v>2</v>
      </c>
      <c r="B4" s="5" t="s">
        <v>3</v>
      </c>
    </row>
    <row r="5" spans="1:2" x14ac:dyDescent="0.2">
      <c r="A5" s="6" t="s">
        <v>4</v>
      </c>
      <c r="B5" s="7" t="s">
        <v>5</v>
      </c>
    </row>
    <row r="6" spans="1:2" ht="29" x14ac:dyDescent="0.2">
      <c r="A6" s="6" t="s">
        <v>6</v>
      </c>
      <c r="B6" s="7" t="s">
        <v>7</v>
      </c>
    </row>
    <row r="7" spans="1:2" x14ac:dyDescent="0.2">
      <c r="A7" s="6" t="s">
        <v>8</v>
      </c>
      <c r="B7" s="7" t="s">
        <v>9</v>
      </c>
    </row>
    <row r="8" spans="1:2" ht="29" x14ac:dyDescent="0.2">
      <c r="A8" s="6" t="s">
        <v>10</v>
      </c>
      <c r="B8" s="7" t="s">
        <v>11</v>
      </c>
    </row>
    <row r="9" spans="1:2" x14ac:dyDescent="0.2">
      <c r="A9" s="6" t="s">
        <v>12</v>
      </c>
      <c r="B9" s="7" t="s">
        <v>13</v>
      </c>
    </row>
    <row r="11" spans="1:2" ht="22.25" customHeight="1" x14ac:dyDescent="0.2">
      <c r="A11" s="2" t="s">
        <v>14</v>
      </c>
      <c r="B11" s="2"/>
    </row>
    <row r="13" spans="1:2" ht="32.75" customHeight="1" x14ac:dyDescent="0.2">
      <c r="A13" s="2" t="s">
        <v>15</v>
      </c>
      <c r="B13" s="2"/>
    </row>
  </sheetData>
  <mergeCells count="2">
    <mergeCell ref="A11:B11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zoomScaleNormal="100" workbookViewId="0">
      <selection activeCell="D24" sqref="D24"/>
    </sheetView>
  </sheetViews>
  <sheetFormatPr baseColWidth="10" defaultColWidth="8.6640625" defaultRowHeight="15" x14ac:dyDescent="0.2"/>
  <cols>
    <col min="1" max="1" width="26" customWidth="1"/>
    <col min="2" max="2" width="10" customWidth="1"/>
    <col min="3" max="3" width="14" customWidth="1"/>
    <col min="4" max="8" width="11" customWidth="1"/>
    <col min="9" max="9" width="12" customWidth="1"/>
  </cols>
  <sheetData>
    <row r="1" spans="1:9" ht="18" x14ac:dyDescent="0.2">
      <c r="A1" s="8" t="s">
        <v>16</v>
      </c>
    </row>
    <row r="2" spans="1:9" x14ac:dyDescent="0.2">
      <c r="A2" s="4" t="s">
        <v>17</v>
      </c>
    </row>
    <row r="4" spans="1:9" ht="27.75" customHeight="1" x14ac:dyDescent="0.2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5" spans="1:9" x14ac:dyDescent="0.2">
      <c r="A5" s="10" t="s">
        <v>27</v>
      </c>
      <c r="B5" s="11">
        <v>14.5</v>
      </c>
      <c r="C5" s="12">
        <v>34</v>
      </c>
      <c r="D5" s="13" t="s">
        <v>28</v>
      </c>
      <c r="E5" s="14">
        <v>1.5385</v>
      </c>
      <c r="F5" s="14">
        <v>1.2222</v>
      </c>
      <c r="G5" s="14">
        <v>1</v>
      </c>
      <c r="H5" s="14">
        <v>0.66669999999999996</v>
      </c>
      <c r="I5" s="14">
        <v>0</v>
      </c>
    </row>
    <row r="6" spans="1:9" x14ac:dyDescent="0.2">
      <c r="A6" s="10" t="s">
        <v>29</v>
      </c>
      <c r="B6" s="11">
        <v>9.5</v>
      </c>
      <c r="C6" s="12">
        <v>14</v>
      </c>
      <c r="D6" s="13" t="s">
        <v>28</v>
      </c>
      <c r="E6" s="14">
        <v>1.5</v>
      </c>
      <c r="F6" s="14">
        <v>1.2317</v>
      </c>
      <c r="G6" s="14">
        <v>1</v>
      </c>
      <c r="H6" s="14">
        <v>0.77790000000000004</v>
      </c>
      <c r="I6" s="14">
        <v>0</v>
      </c>
    </row>
    <row r="7" spans="1:9" x14ac:dyDescent="0.2">
      <c r="A7" s="10" t="s">
        <v>30</v>
      </c>
      <c r="B7" s="11">
        <v>6</v>
      </c>
      <c r="C7" s="15">
        <v>23</v>
      </c>
      <c r="D7" s="13" t="s">
        <v>28</v>
      </c>
      <c r="E7" s="14">
        <v>1.45</v>
      </c>
      <c r="F7" s="14">
        <v>1.2601</v>
      </c>
      <c r="G7" s="14">
        <v>1</v>
      </c>
      <c r="H7" s="14">
        <v>0.75</v>
      </c>
      <c r="I7" s="14">
        <v>0</v>
      </c>
    </row>
    <row r="8" spans="1:9" x14ac:dyDescent="0.2">
      <c r="A8" s="10" t="s">
        <v>31</v>
      </c>
      <c r="B8" s="11">
        <v>8</v>
      </c>
      <c r="C8" s="12">
        <v>8</v>
      </c>
      <c r="D8" s="13" t="s">
        <v>28</v>
      </c>
      <c r="E8" s="14">
        <v>1.6662999999999999</v>
      </c>
      <c r="F8" s="14">
        <v>1.4326000000000001</v>
      </c>
      <c r="G8" s="14">
        <v>1</v>
      </c>
      <c r="H8" s="14">
        <v>0.68379999999999996</v>
      </c>
      <c r="I8" s="14">
        <v>0</v>
      </c>
    </row>
    <row r="9" spans="1:9" x14ac:dyDescent="0.2">
      <c r="A9" s="10" t="s">
        <v>32</v>
      </c>
      <c r="B9" s="11">
        <v>8</v>
      </c>
      <c r="C9" s="15">
        <v>23</v>
      </c>
      <c r="D9" s="13" t="s">
        <v>28</v>
      </c>
      <c r="E9" s="14">
        <v>1.5862000000000001</v>
      </c>
      <c r="F9" s="14">
        <v>1.3</v>
      </c>
      <c r="G9" s="14">
        <v>1</v>
      </c>
      <c r="H9" s="14">
        <v>0.71379999999999999</v>
      </c>
      <c r="I9" s="14">
        <v>0</v>
      </c>
    </row>
    <row r="10" spans="1:9" x14ac:dyDescent="0.2">
      <c r="A10" s="10" t="s">
        <v>33</v>
      </c>
      <c r="B10" s="11">
        <v>9</v>
      </c>
      <c r="C10" s="15">
        <v>23</v>
      </c>
      <c r="D10" s="13" t="s">
        <v>28</v>
      </c>
      <c r="E10" s="14">
        <v>1.4177999999999999</v>
      </c>
      <c r="F10" s="14">
        <v>1.2356</v>
      </c>
      <c r="G10" s="14">
        <v>1</v>
      </c>
      <c r="H10" s="14">
        <v>0.77329999999999999</v>
      </c>
      <c r="I10" s="14">
        <v>0</v>
      </c>
    </row>
    <row r="11" spans="1:9" x14ac:dyDescent="0.2">
      <c r="A11" s="10" t="s">
        <v>34</v>
      </c>
      <c r="B11" s="11">
        <v>9</v>
      </c>
      <c r="C11" s="15">
        <v>23</v>
      </c>
      <c r="D11" s="13" t="s">
        <v>28</v>
      </c>
      <c r="E11" s="14">
        <v>1.4177999999999999</v>
      </c>
      <c r="F11" s="14">
        <v>1.2356</v>
      </c>
      <c r="G11" s="14">
        <v>1</v>
      </c>
      <c r="H11" s="14">
        <v>0.77329999999999999</v>
      </c>
      <c r="I11" s="14">
        <v>0</v>
      </c>
    </row>
    <row r="12" spans="1:9" x14ac:dyDescent="0.2">
      <c r="A12" s="10" t="s">
        <v>35</v>
      </c>
      <c r="B12" s="11">
        <v>5.3</v>
      </c>
      <c r="C12" s="15">
        <v>23</v>
      </c>
      <c r="D12" s="13" t="s">
        <v>28</v>
      </c>
      <c r="E12" s="14">
        <v>1.5094000000000001</v>
      </c>
      <c r="F12" s="14">
        <v>1.3112999999999999</v>
      </c>
      <c r="G12" s="14">
        <v>1</v>
      </c>
      <c r="H12" s="14">
        <v>0.86219999999999997</v>
      </c>
      <c r="I12" s="14">
        <v>0</v>
      </c>
    </row>
    <row r="13" spans="1:9" x14ac:dyDescent="0.2">
      <c r="A13" s="10" t="s">
        <v>36</v>
      </c>
      <c r="B13" s="11">
        <v>9</v>
      </c>
      <c r="C13" s="15">
        <v>23</v>
      </c>
      <c r="D13" s="13" t="s">
        <v>28</v>
      </c>
      <c r="E13" s="14">
        <v>2.6</v>
      </c>
      <c r="F13" s="14">
        <v>1.9990000000000001</v>
      </c>
      <c r="G13" s="14">
        <v>1</v>
      </c>
      <c r="H13" s="14">
        <v>0.8</v>
      </c>
      <c r="I13" s="14">
        <v>0</v>
      </c>
    </row>
    <row r="14" spans="1:9" x14ac:dyDescent="0.2">
      <c r="A14" s="10" t="s">
        <v>37</v>
      </c>
      <c r="B14" s="11">
        <v>16</v>
      </c>
      <c r="C14" s="15">
        <v>23</v>
      </c>
      <c r="D14" s="13" t="s">
        <v>28</v>
      </c>
      <c r="E14" s="14">
        <v>1.6667000000000001</v>
      </c>
      <c r="F14" s="14">
        <v>1.4157999999999999</v>
      </c>
      <c r="G14" s="14">
        <v>1</v>
      </c>
      <c r="H14" s="14">
        <v>0.75</v>
      </c>
      <c r="I14" s="14">
        <v>0</v>
      </c>
    </row>
    <row r="15" spans="1:9" x14ac:dyDescent="0.2">
      <c r="A15" s="10" t="s">
        <v>38</v>
      </c>
      <c r="B15" s="11">
        <v>25</v>
      </c>
      <c r="C15" s="15">
        <v>23</v>
      </c>
      <c r="D15" s="13" t="s">
        <v>28</v>
      </c>
      <c r="E15" s="14">
        <v>1.6667000000000001</v>
      </c>
      <c r="F15" s="14">
        <v>1.4157999999999999</v>
      </c>
      <c r="G15" s="14">
        <v>1</v>
      </c>
      <c r="H15" s="14">
        <v>0.75</v>
      </c>
      <c r="I15" s="14">
        <v>0</v>
      </c>
    </row>
    <row r="16" spans="1:9" x14ac:dyDescent="0.2">
      <c r="A16" s="10" t="s">
        <v>39</v>
      </c>
      <c r="B16" s="11">
        <v>10.5</v>
      </c>
      <c r="C16" s="15">
        <v>23</v>
      </c>
      <c r="D16" s="13" t="s">
        <v>28</v>
      </c>
      <c r="E16" s="14">
        <v>1.38</v>
      </c>
      <c r="F16" s="14">
        <v>1.19</v>
      </c>
      <c r="G16" s="14">
        <v>1</v>
      </c>
      <c r="H16" s="14">
        <v>0.75</v>
      </c>
      <c r="I16" s="14">
        <v>0</v>
      </c>
    </row>
    <row r="17" spans="1:9" x14ac:dyDescent="0.2">
      <c r="A17" s="10" t="s">
        <v>40</v>
      </c>
      <c r="B17" s="11">
        <v>435</v>
      </c>
      <c r="C17" s="15">
        <v>23</v>
      </c>
      <c r="D17" s="16" t="s">
        <v>41</v>
      </c>
      <c r="E17" s="14">
        <v>1.3587</v>
      </c>
      <c r="F17" s="14">
        <v>1.1920999999999999</v>
      </c>
      <c r="G17" s="14">
        <v>1</v>
      </c>
      <c r="H17" s="14">
        <v>0.92390000000000005</v>
      </c>
      <c r="I17" s="14">
        <v>0</v>
      </c>
    </row>
    <row r="18" spans="1:9" x14ac:dyDescent="0.2">
      <c r="A18" s="10" t="s">
        <v>42</v>
      </c>
      <c r="B18" s="11">
        <v>500</v>
      </c>
      <c r="C18" s="12">
        <v>28</v>
      </c>
      <c r="D18" s="16" t="s">
        <v>41</v>
      </c>
      <c r="E18" s="14">
        <v>1.1788000000000001</v>
      </c>
      <c r="F18" s="14">
        <v>1.0891999999999999</v>
      </c>
      <c r="G18" s="14">
        <v>1</v>
      </c>
      <c r="H18" s="14">
        <v>0.85</v>
      </c>
      <c r="I18" s="14">
        <v>0</v>
      </c>
    </row>
    <row r="19" spans="1:9" x14ac:dyDescent="0.2">
      <c r="A19" s="10" t="s">
        <v>43</v>
      </c>
      <c r="B19" s="11">
        <v>515</v>
      </c>
      <c r="C19" s="12">
        <v>28</v>
      </c>
      <c r="D19" s="16" t="s">
        <v>41</v>
      </c>
      <c r="E19" s="14">
        <v>1.2675000000000001</v>
      </c>
      <c r="F19" s="14">
        <v>1.0774999999999999</v>
      </c>
      <c r="G19" s="14">
        <v>1</v>
      </c>
      <c r="H19" s="14">
        <v>0.93489999999999995</v>
      </c>
      <c r="I19" s="14">
        <v>0</v>
      </c>
    </row>
    <row r="20" spans="1:9" x14ac:dyDescent="0.2">
      <c r="A20" s="10" t="s">
        <v>44</v>
      </c>
      <c r="B20" s="11">
        <v>11</v>
      </c>
      <c r="C20" s="12">
        <v>25</v>
      </c>
      <c r="D20" s="13" t="s">
        <v>28</v>
      </c>
      <c r="E20" s="14">
        <v>1.2726999999999999</v>
      </c>
      <c r="F20" s="14">
        <v>1.1681999999999999</v>
      </c>
      <c r="G20" s="14">
        <v>1</v>
      </c>
      <c r="H20" s="14">
        <v>0.89549999999999996</v>
      </c>
      <c r="I20" s="14">
        <v>0</v>
      </c>
    </row>
    <row r="21" spans="1:9" x14ac:dyDescent="0.2">
      <c r="A21" s="10" t="s">
        <v>45</v>
      </c>
      <c r="B21" s="11">
        <v>15</v>
      </c>
      <c r="C21" s="12">
        <v>25</v>
      </c>
      <c r="D21" s="13" t="s">
        <v>28</v>
      </c>
      <c r="E21" s="14">
        <v>1.2733000000000001</v>
      </c>
      <c r="F21" s="14">
        <v>1.1679999999999999</v>
      </c>
      <c r="G21" s="14">
        <v>1</v>
      </c>
      <c r="H21" s="14">
        <v>0.89500000000000002</v>
      </c>
      <c r="I21" s="14">
        <v>0</v>
      </c>
    </row>
    <row r="22" spans="1:9" x14ac:dyDescent="0.2">
      <c r="A22" s="10" t="s">
        <v>46</v>
      </c>
      <c r="B22" s="11">
        <v>485</v>
      </c>
      <c r="C22" s="12">
        <v>28</v>
      </c>
      <c r="D22" s="16" t="s">
        <v>41</v>
      </c>
      <c r="E22" s="14">
        <v>1.1788000000000001</v>
      </c>
      <c r="F22" s="14">
        <v>1.0891</v>
      </c>
      <c r="G22" s="14">
        <v>1</v>
      </c>
      <c r="H22" s="14">
        <v>0.85489999999999999</v>
      </c>
      <c r="I22" s="14">
        <v>0</v>
      </c>
    </row>
    <row r="23" spans="1:9" x14ac:dyDescent="0.2">
      <c r="A23" s="10" t="s">
        <v>47</v>
      </c>
      <c r="B23" s="11">
        <v>485</v>
      </c>
      <c r="C23" s="15">
        <v>23</v>
      </c>
      <c r="D23" s="16" t="s">
        <v>41</v>
      </c>
      <c r="E23" s="14">
        <v>1.1788000000000001</v>
      </c>
      <c r="F23" s="14">
        <v>1.0891</v>
      </c>
      <c r="G23" s="14">
        <v>1</v>
      </c>
      <c r="H23" s="14">
        <v>0.85489999999999999</v>
      </c>
      <c r="I23" s="14">
        <v>0</v>
      </c>
    </row>
    <row r="24" spans="1:9" x14ac:dyDescent="0.2">
      <c r="A24" s="10" t="s">
        <v>48</v>
      </c>
      <c r="B24" s="11">
        <v>1.97</v>
      </c>
      <c r="C24" s="15">
        <v>23</v>
      </c>
      <c r="D24" s="13" t="s">
        <v>28</v>
      </c>
      <c r="E24" s="14">
        <v>1.2741</v>
      </c>
      <c r="F24" s="14">
        <v>1.1675</v>
      </c>
      <c r="G24" s="14">
        <v>1</v>
      </c>
      <c r="H24" s="14">
        <v>0.89339999999999997</v>
      </c>
      <c r="I24" s="14">
        <v>0</v>
      </c>
    </row>
    <row r="26" spans="1:9" ht="22.25" customHeight="1" x14ac:dyDescent="0.2">
      <c r="A26" s="2" t="s">
        <v>49</v>
      </c>
      <c r="B26" s="2"/>
      <c r="C26" s="2"/>
      <c r="D26" s="2"/>
      <c r="E26" s="2"/>
      <c r="F26" s="2"/>
      <c r="G26" s="2"/>
      <c r="H26" s="2"/>
      <c r="I26" s="2"/>
    </row>
  </sheetData>
  <mergeCells count="1">
    <mergeCell ref="A26:I2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8" width="10" customWidth="1"/>
    <col min="9" max="9" width="12" customWidth="1"/>
  </cols>
  <sheetData>
    <row r="1" spans="1:9" ht="18" x14ac:dyDescent="0.2">
      <c r="A1" s="8" t="s">
        <v>50</v>
      </c>
    </row>
    <row r="2" spans="1:9" x14ac:dyDescent="0.2">
      <c r="A2" s="4" t="s">
        <v>51</v>
      </c>
    </row>
    <row r="4" spans="1:9" ht="32.75" customHeight="1" x14ac:dyDescent="0.2">
      <c r="A4" s="2" t="s">
        <v>52</v>
      </c>
      <c r="B4" s="2"/>
      <c r="C4" s="2"/>
      <c r="D4" s="2"/>
      <c r="E4" s="2"/>
      <c r="F4" s="2"/>
      <c r="G4" s="2"/>
      <c r="H4" s="2"/>
      <c r="I4" s="2"/>
    </row>
    <row r="7" spans="1:9" ht="25.5" customHeight="1" x14ac:dyDescent="0.2">
      <c r="A7" s="9" t="s">
        <v>18</v>
      </c>
      <c r="B7" s="9" t="s">
        <v>53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58</v>
      </c>
      <c r="H7" s="9" t="s">
        <v>59</v>
      </c>
      <c r="I7" s="9" t="s">
        <v>60</v>
      </c>
    </row>
    <row r="8" spans="1:9" x14ac:dyDescent="0.2">
      <c r="A8" s="17" t="s">
        <v>44</v>
      </c>
      <c r="B8" s="11">
        <v>8</v>
      </c>
      <c r="C8" s="18">
        <f>INDEX('Skill Reference'!$B$5:$B$24,MATCH($A8,'Skill Reference'!$A$5:$A$24,0))</f>
        <v>11</v>
      </c>
      <c r="D8" s="19" t="str">
        <f>INDEX('Skill Reference'!$D$5:$D$24,MATCH($A8,'Skill Reference'!$A$5:$A$24,0))</f>
        <v>No</v>
      </c>
      <c r="E8" s="20">
        <f>IF($D8="Yes",$C8/$B8,$B8/$C8)</f>
        <v>0.72727272727272729</v>
      </c>
      <c r="F8" s="20">
        <f>IF($E8&lt;=INDEX('Skill Reference'!$I$5:$I$24,MATCH($A8,'Skill Reference'!$A$5:$A$24,0)),INDEX('Skill Reference'!$I$5:$I$24,MATCH($A8,'Skill Reference'!$A$5:$A$24,0)),IF($E8&lt;INDEX('Skill Reference'!$H$5:$H$24,MATCH($A8,'Skill Reference'!$A$5:$A$24,0)),INDEX('Skill Reference'!$I$5:$I$24,MATCH($A8,'Skill Reference'!$A$5:$A$24,0)),IF($E8&lt;INDEX('Skill Reference'!$G$5:$G$24,MATCH($A8,'Skill Reference'!$A$5:$A$24,0)),INDEX('Skill Reference'!$H$5:$H$24,MATCH($A8,'Skill Reference'!$A$5:$A$24,0)),IF($E8&lt;=INDEX('Skill Reference'!$F$5:$F$24,MATCH($A8,'Skill Reference'!$A$5:$A$24,0)),INDEX('Skill Reference'!$G$5:$G$24,MATCH($A8,'Skill Reference'!$A$5:$A$24,0)),INDEX('Skill Reference'!$F$5:$F$24,MATCH($A8,'Skill Reference'!$A$5:$A$24,0))))))</f>
        <v>0</v>
      </c>
      <c r="G8" s="20">
        <f>IF($E8&lt;=INDEX('Skill Reference'!$I$5:$I$24,MATCH($A8,'Skill Reference'!$A$5:$A$24,0)),INDEX('Skill Reference'!$H$5:$H$24,MATCH($A8,'Skill Reference'!$A$5:$A$24,0)),IF($E8&lt;INDEX('Skill Reference'!$H$5:$H$24,MATCH($A8,'Skill Reference'!$A$5:$A$24,0)),INDEX('Skill Reference'!$H$5:$H$24,MATCH($A8,'Skill Reference'!$A$5:$A$24,0)),IF($E8&lt;INDEX('Skill Reference'!$G$5:$G$24,MATCH($A8,'Skill Reference'!$A$5:$A$24,0)),INDEX('Skill Reference'!$G$5:$G$24,MATCH($A8,'Skill Reference'!$A$5:$A$24,0)),IF($E8&lt;=INDEX('Skill Reference'!$F$5:$F$24,MATCH($A8,'Skill Reference'!$A$5:$A$24,0)),INDEX('Skill Reference'!$F$5:$F$24,MATCH($A8,'Skill Reference'!$A$5:$A$24,0)),INDEX('Skill Reference'!$E$5:$E$24,MATCH($A8,'Skill Reference'!$A$5:$A$24,0))))))</f>
        <v>0.89549999999999996</v>
      </c>
      <c r="H8" s="21">
        <f>IF($E8&lt;=INDEX('Skill Reference'!$I$5:$I$24,MATCH($A8,'Skill Reference'!$A$5:$A$24,0)),0,IF($E8&lt;INDEX('Skill Reference'!$G$5:$G$24,MATCH($A8,'Skill Reference'!$A$5:$A$24,0)),0,IF($E8&lt;=INDEX('Skill Reference'!$F$5:$F$24,MATCH($A8,'Skill Reference'!$A$5:$A$24,0)),($E8-INDEX('Skill Reference'!$G$5:$G$24,MATCH($A8,'Skill Reference'!$A$5:$A$24,0)))/(INDEX('Skill Reference'!$F$5:$F$24,MATCH($A8,'Skill Reference'!$A$5:$A$24,0))-INDEX('Skill Reference'!$G$5:$G$24,MATCH($A8,'Skill Reference'!$A$5:$A$24,0))),IF($E8&lt;=INDEX('Skill Reference'!$E$5:$E$24,MATCH($A8,'Skill Reference'!$A$5:$A$24,0)),($E8-INDEX('Skill Reference'!$F$5:$F$24,MATCH($A8,'Skill Reference'!$A$5:$A$24,0)))/(INDEX('Skill Reference'!$E$5:$E$24,MATCH($A8,'Skill Reference'!$A$5:$A$24,0))-INDEX('Skill Reference'!$F$5:$F$24,MATCH($A8,'Skill Reference'!$A$5:$A$24,0))),1))))</f>
        <v>0</v>
      </c>
      <c r="I8" s="21">
        <f>IF($E8&lt;=INDEX('Skill Reference'!$I$5:$I$24,MATCH($A8,'Skill Reference'!$A$5:$A$24,0)),1,IF($E8&lt;INDEX('Skill Reference'!$H$5:$H$24,MATCH($A8,'Skill Reference'!$A$5:$A$24,0)),1,IF($E8&lt;INDEX('Skill Reference'!$G$5:$G$24,MATCH($A8,'Skill Reference'!$A$5:$A$24,0)),2,IF($E8&lt;=INDEX('Skill Reference'!$F$5:$F$24,MATCH($A8,'Skill Reference'!$A$5:$A$24,0)),3+($E8-INDEX('Skill Reference'!$G$5:$G$24,MATCH($A8,'Skill Reference'!$A$5:$A$24,0)))/(INDEX('Skill Reference'!$F$5:$F$24,MATCH($A8,'Skill Reference'!$A$5:$A$24,0))-INDEX('Skill Reference'!$G$5:$G$24,MATCH($A8,'Skill Reference'!$A$5:$A$24,0))),IF($E8&lt;=INDEX('Skill Reference'!$E$5:$E$24,MATCH($A8,'Skill Reference'!$A$5:$A$24,0)),4+($E8-INDEX('Skill Reference'!$F$5:$F$24,MATCH($A8,'Skill Reference'!$A$5:$A$24,0)))/(INDEX('Skill Reference'!$E$5:$E$24,MATCH($A8,'Skill Reference'!$A$5:$A$24,0))-INDEX('Skill Reference'!$F$5:$F$24,MATCH($A8,'Skill Reference'!$A$5:$A$24,0))),5)))))</f>
        <v>1</v>
      </c>
    </row>
    <row r="9" spans="1:9" x14ac:dyDescent="0.2">
      <c r="A9" s="17" t="s">
        <v>44</v>
      </c>
      <c r="B9" s="11">
        <v>10</v>
      </c>
      <c r="C9" s="18">
        <f>INDEX('Skill Reference'!$B$5:$B$24,MATCH($A9,'Skill Reference'!$A$5:$A$24,0))</f>
        <v>11</v>
      </c>
      <c r="D9" s="19" t="str">
        <f>INDEX('Skill Reference'!$D$5:$D$24,MATCH($A9,'Skill Reference'!$A$5:$A$24,0))</f>
        <v>No</v>
      </c>
      <c r="E9" s="20">
        <f>IF($D9="Yes",$C9/$B9,$B9/$C9)</f>
        <v>0.90909090909090906</v>
      </c>
      <c r="F9" s="20">
        <f>IF($E9&lt;=INDEX('Skill Reference'!$I$5:$I$24,MATCH($A9,'Skill Reference'!$A$5:$A$24,0)),INDEX('Skill Reference'!$I$5:$I$24,MATCH($A9,'Skill Reference'!$A$5:$A$24,0)),IF($E9&lt;INDEX('Skill Reference'!$H$5:$H$24,MATCH($A9,'Skill Reference'!$A$5:$A$24,0)),INDEX('Skill Reference'!$I$5:$I$24,MATCH($A9,'Skill Reference'!$A$5:$A$24,0)),IF($E9&lt;INDEX('Skill Reference'!$G$5:$G$24,MATCH($A9,'Skill Reference'!$A$5:$A$24,0)),INDEX('Skill Reference'!$H$5:$H$24,MATCH($A9,'Skill Reference'!$A$5:$A$24,0)),IF($E9&lt;=INDEX('Skill Reference'!$F$5:$F$24,MATCH($A9,'Skill Reference'!$A$5:$A$24,0)),INDEX('Skill Reference'!$G$5:$G$24,MATCH($A9,'Skill Reference'!$A$5:$A$24,0)),INDEX('Skill Reference'!$F$5:$F$24,MATCH($A9,'Skill Reference'!$A$5:$A$24,0))))))</f>
        <v>0.89549999999999996</v>
      </c>
      <c r="G9" s="20">
        <f>IF($E9&lt;=INDEX('Skill Reference'!$I$5:$I$24,MATCH($A9,'Skill Reference'!$A$5:$A$24,0)),INDEX('Skill Reference'!$H$5:$H$24,MATCH($A9,'Skill Reference'!$A$5:$A$24,0)),IF($E9&lt;INDEX('Skill Reference'!$H$5:$H$24,MATCH($A9,'Skill Reference'!$A$5:$A$24,0)),INDEX('Skill Reference'!$H$5:$H$24,MATCH($A9,'Skill Reference'!$A$5:$A$24,0)),IF($E9&lt;INDEX('Skill Reference'!$G$5:$G$24,MATCH($A9,'Skill Reference'!$A$5:$A$24,0)),INDEX('Skill Reference'!$G$5:$G$24,MATCH($A9,'Skill Reference'!$A$5:$A$24,0)),IF($E9&lt;=INDEX('Skill Reference'!$F$5:$F$24,MATCH($A9,'Skill Reference'!$A$5:$A$24,0)),INDEX('Skill Reference'!$F$5:$F$24,MATCH($A9,'Skill Reference'!$A$5:$A$24,0)),INDEX('Skill Reference'!$E$5:$E$24,MATCH($A9,'Skill Reference'!$A$5:$A$24,0))))))</f>
        <v>1</v>
      </c>
      <c r="H9" s="21">
        <f>IF($E9&lt;=INDEX('Skill Reference'!$I$5:$I$24,MATCH($A9,'Skill Reference'!$A$5:$A$24,0)),0,IF($E9&lt;INDEX('Skill Reference'!$G$5:$G$24,MATCH($A9,'Skill Reference'!$A$5:$A$24,0)),0,IF($E9&lt;=INDEX('Skill Reference'!$F$5:$F$24,MATCH($A9,'Skill Reference'!$A$5:$A$24,0)),($E9-INDEX('Skill Reference'!$G$5:$G$24,MATCH($A9,'Skill Reference'!$A$5:$A$24,0)))/(INDEX('Skill Reference'!$F$5:$F$24,MATCH($A9,'Skill Reference'!$A$5:$A$24,0))-INDEX('Skill Reference'!$G$5:$G$24,MATCH($A9,'Skill Reference'!$A$5:$A$24,0))),IF($E9&lt;=INDEX('Skill Reference'!$E$5:$E$24,MATCH($A9,'Skill Reference'!$A$5:$A$24,0)),($E9-INDEX('Skill Reference'!$F$5:$F$24,MATCH($A9,'Skill Reference'!$A$5:$A$24,0)))/(INDEX('Skill Reference'!$E$5:$E$24,MATCH($A9,'Skill Reference'!$A$5:$A$24,0))-INDEX('Skill Reference'!$F$5:$F$24,MATCH($A9,'Skill Reference'!$A$5:$A$24,0))),1))))</f>
        <v>0</v>
      </c>
      <c r="I9" s="21">
        <f>IF($E9&lt;=INDEX('Skill Reference'!$I$5:$I$24,MATCH($A9,'Skill Reference'!$A$5:$A$24,0)),1,IF($E9&lt;INDEX('Skill Reference'!$H$5:$H$24,MATCH($A9,'Skill Reference'!$A$5:$A$24,0)),1,IF($E9&lt;INDEX('Skill Reference'!$G$5:$G$24,MATCH($A9,'Skill Reference'!$A$5:$A$24,0)),2,IF($E9&lt;=INDEX('Skill Reference'!$F$5:$F$24,MATCH($A9,'Skill Reference'!$A$5:$A$24,0)),3+($E9-INDEX('Skill Reference'!$G$5:$G$24,MATCH($A9,'Skill Reference'!$A$5:$A$24,0)))/(INDEX('Skill Reference'!$F$5:$F$24,MATCH($A9,'Skill Reference'!$A$5:$A$24,0))-INDEX('Skill Reference'!$G$5:$G$24,MATCH($A9,'Skill Reference'!$A$5:$A$24,0))),IF($E9&lt;=INDEX('Skill Reference'!$E$5:$E$24,MATCH($A9,'Skill Reference'!$A$5:$A$24,0)),4+($E9-INDEX('Skill Reference'!$F$5:$F$24,MATCH($A9,'Skill Reference'!$A$5:$A$24,0)))/(INDEX('Skill Reference'!$E$5:$E$24,MATCH($A9,'Skill Reference'!$A$5:$A$24,0))-INDEX('Skill Reference'!$F$5:$F$24,MATCH($A9,'Skill Reference'!$A$5:$A$24,0))),5)))))</f>
        <v>2</v>
      </c>
    </row>
    <row r="10" spans="1:9" x14ac:dyDescent="0.2">
      <c r="A10" s="17" t="s">
        <v>44</v>
      </c>
      <c r="B10" s="11">
        <v>12</v>
      </c>
      <c r="C10" s="18">
        <f>INDEX('Skill Reference'!$B$5:$B$24,MATCH($A10,'Skill Reference'!$A$5:$A$24,0))</f>
        <v>11</v>
      </c>
      <c r="D10" s="19" t="str">
        <f>INDEX('Skill Reference'!$D$5:$D$24,MATCH($A10,'Skill Reference'!$A$5:$A$24,0))</f>
        <v>No</v>
      </c>
      <c r="E10" s="20">
        <f>IF($D10="Yes",$C10/$B10,$B10/$C10)</f>
        <v>1.0909090909090908</v>
      </c>
      <c r="F10" s="20">
        <f>IF($E10&lt;=INDEX('Skill Reference'!$I$5:$I$24,MATCH($A10,'Skill Reference'!$A$5:$A$24,0)),INDEX('Skill Reference'!$I$5:$I$24,MATCH($A10,'Skill Reference'!$A$5:$A$24,0)),IF($E10&lt;INDEX('Skill Reference'!$H$5:$H$24,MATCH($A10,'Skill Reference'!$A$5:$A$24,0)),INDEX('Skill Reference'!$I$5:$I$24,MATCH($A10,'Skill Reference'!$A$5:$A$24,0)),IF($E10&lt;INDEX('Skill Reference'!$G$5:$G$24,MATCH($A10,'Skill Reference'!$A$5:$A$24,0)),INDEX('Skill Reference'!$H$5:$H$24,MATCH($A10,'Skill Reference'!$A$5:$A$24,0)),IF($E10&lt;=INDEX('Skill Reference'!$F$5:$F$24,MATCH($A10,'Skill Reference'!$A$5:$A$24,0)),INDEX('Skill Reference'!$G$5:$G$24,MATCH($A10,'Skill Reference'!$A$5:$A$24,0)),INDEX('Skill Reference'!$F$5:$F$24,MATCH($A10,'Skill Reference'!$A$5:$A$24,0))))))</f>
        <v>1</v>
      </c>
      <c r="G10" s="20">
        <f>IF($E10&lt;=INDEX('Skill Reference'!$I$5:$I$24,MATCH($A10,'Skill Reference'!$A$5:$A$24,0)),INDEX('Skill Reference'!$H$5:$H$24,MATCH($A10,'Skill Reference'!$A$5:$A$24,0)),IF($E10&lt;INDEX('Skill Reference'!$H$5:$H$24,MATCH($A10,'Skill Reference'!$A$5:$A$24,0)),INDEX('Skill Reference'!$H$5:$H$24,MATCH($A10,'Skill Reference'!$A$5:$A$24,0)),IF($E10&lt;INDEX('Skill Reference'!$G$5:$G$24,MATCH($A10,'Skill Reference'!$A$5:$A$24,0)),INDEX('Skill Reference'!$G$5:$G$24,MATCH($A10,'Skill Reference'!$A$5:$A$24,0)),IF($E10&lt;=INDEX('Skill Reference'!$F$5:$F$24,MATCH($A10,'Skill Reference'!$A$5:$A$24,0)),INDEX('Skill Reference'!$F$5:$F$24,MATCH($A10,'Skill Reference'!$A$5:$A$24,0)),INDEX('Skill Reference'!$E$5:$E$24,MATCH($A10,'Skill Reference'!$A$5:$A$24,0))))))</f>
        <v>1.1681999999999999</v>
      </c>
      <c r="H10" s="21">
        <f>IF($E10&lt;=INDEX('Skill Reference'!$I$5:$I$24,MATCH($A10,'Skill Reference'!$A$5:$A$24,0)),0,IF($E10&lt;INDEX('Skill Reference'!$G$5:$G$24,MATCH($A10,'Skill Reference'!$A$5:$A$24,0)),0,IF($E10&lt;=INDEX('Skill Reference'!$F$5:$F$24,MATCH($A10,'Skill Reference'!$A$5:$A$24,0)),($E10-INDEX('Skill Reference'!$G$5:$G$24,MATCH($A10,'Skill Reference'!$A$5:$A$24,0)))/(INDEX('Skill Reference'!$F$5:$F$24,MATCH($A10,'Skill Reference'!$A$5:$A$24,0))-INDEX('Skill Reference'!$G$5:$G$24,MATCH($A10,'Skill Reference'!$A$5:$A$24,0))),IF($E10&lt;=INDEX('Skill Reference'!$E$5:$E$24,MATCH($A10,'Skill Reference'!$A$5:$A$24,0)),($E10-INDEX('Skill Reference'!$F$5:$F$24,MATCH($A10,'Skill Reference'!$A$5:$A$24,0)))/(INDEX('Skill Reference'!$E$5:$E$24,MATCH($A10,'Skill Reference'!$A$5:$A$24,0))-INDEX('Skill Reference'!$F$5:$F$24,MATCH($A10,'Skill Reference'!$A$5:$A$24,0))),1))))</f>
        <v>0.5404821100421574</v>
      </c>
      <c r="I10" s="21">
        <f>IF($E10&lt;=INDEX('Skill Reference'!$I$5:$I$24,MATCH($A10,'Skill Reference'!$A$5:$A$24,0)),1,IF($E10&lt;INDEX('Skill Reference'!$H$5:$H$24,MATCH($A10,'Skill Reference'!$A$5:$A$24,0)),1,IF($E10&lt;INDEX('Skill Reference'!$G$5:$G$24,MATCH($A10,'Skill Reference'!$A$5:$A$24,0)),2,IF($E10&lt;=INDEX('Skill Reference'!$F$5:$F$24,MATCH($A10,'Skill Reference'!$A$5:$A$24,0)),3+($E10-INDEX('Skill Reference'!$G$5:$G$24,MATCH($A10,'Skill Reference'!$A$5:$A$24,0)))/(INDEX('Skill Reference'!$F$5:$F$24,MATCH($A10,'Skill Reference'!$A$5:$A$24,0))-INDEX('Skill Reference'!$G$5:$G$24,MATCH($A10,'Skill Reference'!$A$5:$A$24,0))),IF($E10&lt;=INDEX('Skill Reference'!$E$5:$E$24,MATCH($A10,'Skill Reference'!$A$5:$A$24,0)),4+($E10-INDEX('Skill Reference'!$F$5:$F$24,MATCH($A10,'Skill Reference'!$A$5:$A$24,0)))/(INDEX('Skill Reference'!$E$5:$E$24,MATCH($A10,'Skill Reference'!$A$5:$A$24,0))-INDEX('Skill Reference'!$F$5:$F$24,MATCH($A10,'Skill Reference'!$A$5:$A$24,0))),5)))))</f>
        <v>3.5404821100421575</v>
      </c>
    </row>
    <row r="11" spans="1:9" x14ac:dyDescent="0.2">
      <c r="A11" s="17" t="s">
        <v>44</v>
      </c>
      <c r="B11" s="11">
        <v>14</v>
      </c>
      <c r="C11" s="18">
        <f>INDEX('Skill Reference'!$B$5:$B$24,MATCH($A11,'Skill Reference'!$A$5:$A$24,0))</f>
        <v>11</v>
      </c>
      <c r="D11" s="19" t="str">
        <f>INDEX('Skill Reference'!$D$5:$D$24,MATCH($A11,'Skill Reference'!$A$5:$A$24,0))</f>
        <v>No</v>
      </c>
      <c r="E11" s="20">
        <f>IF($D11="Yes",$C11/$B11,$B11/$C11)</f>
        <v>1.2727272727272727</v>
      </c>
      <c r="F11" s="20">
        <f>IF($E11&lt;=INDEX('Skill Reference'!$I$5:$I$24,MATCH($A11,'Skill Reference'!$A$5:$A$24,0)),INDEX('Skill Reference'!$I$5:$I$24,MATCH($A11,'Skill Reference'!$A$5:$A$24,0)),IF($E11&lt;INDEX('Skill Reference'!$H$5:$H$24,MATCH($A11,'Skill Reference'!$A$5:$A$24,0)),INDEX('Skill Reference'!$I$5:$I$24,MATCH($A11,'Skill Reference'!$A$5:$A$24,0)),IF($E11&lt;INDEX('Skill Reference'!$G$5:$G$24,MATCH($A11,'Skill Reference'!$A$5:$A$24,0)),INDEX('Skill Reference'!$H$5:$H$24,MATCH($A11,'Skill Reference'!$A$5:$A$24,0)),IF($E11&lt;=INDEX('Skill Reference'!$F$5:$F$24,MATCH($A11,'Skill Reference'!$A$5:$A$24,0)),INDEX('Skill Reference'!$G$5:$G$24,MATCH($A11,'Skill Reference'!$A$5:$A$24,0)),INDEX('Skill Reference'!$F$5:$F$24,MATCH($A11,'Skill Reference'!$A$5:$A$24,0))))))</f>
        <v>1.1681999999999999</v>
      </c>
      <c r="G11" s="20">
        <f>IF($E11&lt;=INDEX('Skill Reference'!$I$5:$I$24,MATCH($A11,'Skill Reference'!$A$5:$A$24,0)),INDEX('Skill Reference'!$H$5:$H$24,MATCH($A11,'Skill Reference'!$A$5:$A$24,0)),IF($E11&lt;INDEX('Skill Reference'!$H$5:$H$24,MATCH($A11,'Skill Reference'!$A$5:$A$24,0)),INDEX('Skill Reference'!$H$5:$H$24,MATCH($A11,'Skill Reference'!$A$5:$A$24,0)),IF($E11&lt;INDEX('Skill Reference'!$G$5:$G$24,MATCH($A11,'Skill Reference'!$A$5:$A$24,0)),INDEX('Skill Reference'!$G$5:$G$24,MATCH($A11,'Skill Reference'!$A$5:$A$24,0)),IF($E11&lt;=INDEX('Skill Reference'!$F$5:$F$24,MATCH($A11,'Skill Reference'!$A$5:$A$24,0)),INDEX('Skill Reference'!$F$5:$F$24,MATCH($A11,'Skill Reference'!$A$5:$A$24,0)),INDEX('Skill Reference'!$E$5:$E$24,MATCH($A11,'Skill Reference'!$A$5:$A$24,0))))))</f>
        <v>1.2726999999999999</v>
      </c>
      <c r="H11" s="21">
        <f>IF($E11&lt;=INDEX('Skill Reference'!$I$5:$I$24,MATCH($A11,'Skill Reference'!$A$5:$A$24,0)),0,IF($E11&lt;INDEX('Skill Reference'!$G$5:$G$24,MATCH($A11,'Skill Reference'!$A$5:$A$24,0)),0,IF($E11&lt;=INDEX('Skill Reference'!$F$5:$F$24,MATCH($A11,'Skill Reference'!$A$5:$A$24,0)),($E11-INDEX('Skill Reference'!$G$5:$G$24,MATCH($A11,'Skill Reference'!$A$5:$A$24,0)))/(INDEX('Skill Reference'!$F$5:$F$24,MATCH($A11,'Skill Reference'!$A$5:$A$24,0))-INDEX('Skill Reference'!$G$5:$G$24,MATCH($A11,'Skill Reference'!$A$5:$A$24,0))),IF($E11&lt;=INDEX('Skill Reference'!$E$5:$E$24,MATCH($A11,'Skill Reference'!$A$5:$A$24,0)),($E11-INDEX('Skill Reference'!$F$5:$F$24,MATCH($A11,'Skill Reference'!$A$5:$A$24,0)))/(INDEX('Skill Reference'!$E$5:$E$24,MATCH($A11,'Skill Reference'!$A$5:$A$24,0))-INDEX('Skill Reference'!$F$5:$F$24,MATCH($A11,'Skill Reference'!$A$5:$A$24,0))),1))))</f>
        <v>1</v>
      </c>
      <c r="I11" s="21">
        <f>IF($E11&lt;=INDEX('Skill Reference'!$I$5:$I$24,MATCH($A11,'Skill Reference'!$A$5:$A$24,0)),1,IF($E11&lt;INDEX('Skill Reference'!$H$5:$H$24,MATCH($A11,'Skill Reference'!$A$5:$A$24,0)),1,IF($E11&lt;INDEX('Skill Reference'!$G$5:$G$24,MATCH($A11,'Skill Reference'!$A$5:$A$24,0)),2,IF($E11&lt;=INDEX('Skill Reference'!$F$5:$F$24,MATCH($A11,'Skill Reference'!$A$5:$A$24,0)),3+($E11-INDEX('Skill Reference'!$G$5:$G$24,MATCH($A11,'Skill Reference'!$A$5:$A$24,0)))/(INDEX('Skill Reference'!$F$5:$F$24,MATCH($A11,'Skill Reference'!$A$5:$A$24,0))-INDEX('Skill Reference'!$G$5:$G$24,MATCH($A11,'Skill Reference'!$A$5:$A$24,0))),IF($E11&lt;=INDEX('Skill Reference'!$E$5:$E$24,MATCH($A11,'Skill Reference'!$A$5:$A$24,0)),4+($E11-INDEX('Skill Reference'!$F$5:$F$24,MATCH($A11,'Skill Reference'!$A$5:$A$24,0)))/(INDEX('Skill Reference'!$E$5:$E$24,MATCH($A11,'Skill Reference'!$A$5:$A$24,0))-INDEX('Skill Reference'!$F$5:$F$24,MATCH($A11,'Skill Reference'!$A$5:$A$24,0))),5)))))</f>
        <v>5</v>
      </c>
    </row>
    <row r="12" spans="1:9" x14ac:dyDescent="0.2">
      <c r="A12" s="17" t="s">
        <v>42</v>
      </c>
      <c r="B12" s="11">
        <v>450</v>
      </c>
      <c r="C12" s="18">
        <f>INDEX('Skill Reference'!$B$5:$B$24,MATCH($A12,'Skill Reference'!$A$5:$A$24,0))</f>
        <v>500</v>
      </c>
      <c r="D12" s="19" t="str">
        <f>INDEX('Skill Reference'!$D$5:$D$24,MATCH($A12,'Skill Reference'!$A$5:$A$24,0))</f>
        <v>Yes</v>
      </c>
      <c r="E12" s="20">
        <f>IF($D12="Yes",$C12/$B12,$B12/$C12)</f>
        <v>1.1111111111111112</v>
      </c>
      <c r="F12" s="20">
        <f>IF($E12&lt;=INDEX('Skill Reference'!$I$5:$I$24,MATCH($A12,'Skill Reference'!$A$5:$A$24,0)),INDEX('Skill Reference'!$I$5:$I$24,MATCH($A12,'Skill Reference'!$A$5:$A$24,0)),IF($E12&lt;INDEX('Skill Reference'!$H$5:$H$24,MATCH($A12,'Skill Reference'!$A$5:$A$24,0)),INDEX('Skill Reference'!$I$5:$I$24,MATCH($A12,'Skill Reference'!$A$5:$A$24,0)),IF($E12&lt;INDEX('Skill Reference'!$G$5:$G$24,MATCH($A12,'Skill Reference'!$A$5:$A$24,0)),INDEX('Skill Reference'!$H$5:$H$24,MATCH($A12,'Skill Reference'!$A$5:$A$24,0)),IF($E12&lt;=INDEX('Skill Reference'!$F$5:$F$24,MATCH($A12,'Skill Reference'!$A$5:$A$24,0)),INDEX('Skill Reference'!$G$5:$G$24,MATCH($A12,'Skill Reference'!$A$5:$A$24,0)),INDEX('Skill Reference'!$F$5:$F$24,MATCH($A12,'Skill Reference'!$A$5:$A$24,0))))))</f>
        <v>1.0891999999999999</v>
      </c>
      <c r="G12" s="20">
        <f>IF($E12&lt;=INDEX('Skill Reference'!$I$5:$I$24,MATCH($A12,'Skill Reference'!$A$5:$A$24,0)),INDEX('Skill Reference'!$H$5:$H$24,MATCH($A12,'Skill Reference'!$A$5:$A$24,0)),IF($E12&lt;INDEX('Skill Reference'!$H$5:$H$24,MATCH($A12,'Skill Reference'!$A$5:$A$24,0)),INDEX('Skill Reference'!$H$5:$H$24,MATCH($A12,'Skill Reference'!$A$5:$A$24,0)),IF($E12&lt;INDEX('Skill Reference'!$G$5:$G$24,MATCH($A12,'Skill Reference'!$A$5:$A$24,0)),INDEX('Skill Reference'!$G$5:$G$24,MATCH($A12,'Skill Reference'!$A$5:$A$24,0)),IF($E12&lt;=INDEX('Skill Reference'!$F$5:$F$24,MATCH($A12,'Skill Reference'!$A$5:$A$24,0)),INDEX('Skill Reference'!$F$5:$F$24,MATCH($A12,'Skill Reference'!$A$5:$A$24,0)),INDEX('Skill Reference'!$E$5:$E$24,MATCH($A12,'Skill Reference'!$A$5:$A$24,0))))))</f>
        <v>1.1788000000000001</v>
      </c>
      <c r="H12" s="21">
        <f>IF($E12&lt;=INDEX('Skill Reference'!$I$5:$I$24,MATCH($A12,'Skill Reference'!$A$5:$A$24,0)),0,IF($E12&lt;INDEX('Skill Reference'!$G$5:$G$24,MATCH($A12,'Skill Reference'!$A$5:$A$24,0)),0,IF($E12&lt;=INDEX('Skill Reference'!$F$5:$F$24,MATCH($A12,'Skill Reference'!$A$5:$A$24,0)),($E12-INDEX('Skill Reference'!$G$5:$G$24,MATCH($A12,'Skill Reference'!$A$5:$A$24,0)))/(INDEX('Skill Reference'!$F$5:$F$24,MATCH($A12,'Skill Reference'!$A$5:$A$24,0))-INDEX('Skill Reference'!$G$5:$G$24,MATCH($A12,'Skill Reference'!$A$5:$A$24,0))),IF($E12&lt;=INDEX('Skill Reference'!$E$5:$E$24,MATCH($A12,'Skill Reference'!$A$5:$A$24,0)),($E12-INDEX('Skill Reference'!$F$5:$F$24,MATCH($A12,'Skill Reference'!$A$5:$A$24,0)))/(INDEX('Skill Reference'!$E$5:$E$24,MATCH($A12,'Skill Reference'!$A$5:$A$24,0))-INDEX('Skill Reference'!$F$5:$F$24,MATCH($A12,'Skill Reference'!$A$5:$A$24,0))),1))))</f>
        <v>0.24454365079365162</v>
      </c>
      <c r="I12" s="21">
        <f>IF($E12&lt;=INDEX('Skill Reference'!$I$5:$I$24,MATCH($A12,'Skill Reference'!$A$5:$A$24,0)),1,IF($E12&lt;INDEX('Skill Reference'!$H$5:$H$24,MATCH($A12,'Skill Reference'!$A$5:$A$24,0)),1,IF($E12&lt;INDEX('Skill Reference'!$G$5:$G$24,MATCH($A12,'Skill Reference'!$A$5:$A$24,0)),2,IF($E12&lt;=INDEX('Skill Reference'!$F$5:$F$24,MATCH($A12,'Skill Reference'!$A$5:$A$24,0)),3+($E12-INDEX('Skill Reference'!$G$5:$G$24,MATCH($A12,'Skill Reference'!$A$5:$A$24,0)))/(INDEX('Skill Reference'!$F$5:$F$24,MATCH($A12,'Skill Reference'!$A$5:$A$24,0))-INDEX('Skill Reference'!$G$5:$G$24,MATCH($A12,'Skill Reference'!$A$5:$A$24,0))),IF($E12&lt;=INDEX('Skill Reference'!$E$5:$E$24,MATCH($A12,'Skill Reference'!$A$5:$A$24,0)),4+($E12-INDEX('Skill Reference'!$F$5:$F$24,MATCH($A12,'Skill Reference'!$A$5:$A$24,0)))/(INDEX('Skill Reference'!$E$5:$E$24,MATCH($A12,'Skill Reference'!$A$5:$A$24,0))-INDEX('Skill Reference'!$F$5:$F$24,MATCH($A12,'Skill Reference'!$A$5:$A$24,0))),5)))))</f>
        <v>4.244543650793652</v>
      </c>
    </row>
    <row r="14" spans="1:9" ht="22.25" customHeight="1" x14ac:dyDescent="0.2">
      <c r="A14" s="2" t="s">
        <v>61</v>
      </c>
      <c r="B14" s="2"/>
      <c r="C14" s="2"/>
      <c r="D14" s="2"/>
      <c r="E14" s="2"/>
      <c r="F14" s="2"/>
      <c r="G14" s="2"/>
      <c r="H14" s="2"/>
      <c r="I14" s="2"/>
    </row>
  </sheetData>
  <mergeCells count="2">
    <mergeCell ref="A4:I4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3" width="12" customWidth="1"/>
    <col min="4" max="5" width="10" customWidth="1"/>
    <col min="6" max="6" width="12" customWidth="1"/>
    <col min="7" max="7" width="10" customWidth="1"/>
    <col min="8" max="8" width="12" customWidth="1"/>
  </cols>
  <sheetData>
    <row r="1" spans="1:8" ht="18" x14ac:dyDescent="0.2">
      <c r="A1" s="8" t="s">
        <v>62</v>
      </c>
    </row>
    <row r="2" spans="1:8" x14ac:dyDescent="0.2">
      <c r="A2" s="4" t="s">
        <v>63</v>
      </c>
    </row>
    <row r="4" spans="1:8" ht="32.75" customHeight="1" x14ac:dyDescent="0.2">
      <c r="A4" s="2" t="s">
        <v>64</v>
      </c>
      <c r="B4" s="2"/>
      <c r="C4" s="2"/>
      <c r="D4" s="2"/>
      <c r="E4" s="2"/>
      <c r="F4" s="2"/>
      <c r="G4" s="2"/>
      <c r="H4" s="2"/>
    </row>
    <row r="7" spans="1:8" ht="25.5" customHeight="1" x14ac:dyDescent="0.2">
      <c r="A7" s="9" t="s">
        <v>18</v>
      </c>
      <c r="B7" s="9" t="s">
        <v>53</v>
      </c>
      <c r="C7" s="9" t="s">
        <v>19</v>
      </c>
      <c r="D7" s="9" t="s">
        <v>65</v>
      </c>
      <c r="E7" s="9" t="s">
        <v>56</v>
      </c>
      <c r="F7" s="9" t="s">
        <v>60</v>
      </c>
      <c r="G7" s="9" t="s">
        <v>66</v>
      </c>
      <c r="H7" s="9" t="s">
        <v>67</v>
      </c>
    </row>
    <row r="8" spans="1:8" x14ac:dyDescent="0.2">
      <c r="A8" s="17" t="s">
        <v>44</v>
      </c>
      <c r="B8" s="11">
        <v>12</v>
      </c>
      <c r="C8" s="18">
        <f>INDEX('Skill Reference'!$B$5:$B$24,MATCH($A8,'Skill Reference'!$A$5:$A$24,0))</f>
        <v>11</v>
      </c>
      <c r="D8" s="11">
        <v>56</v>
      </c>
      <c r="E8" s="20">
        <f>IF(INDEX('Skill Reference'!$D$5:$D$24,MATCH($A8,'Skill Reference'!$A$5:$A$24,0))="Yes",$C8/$B8,$B8/$C8)</f>
        <v>1.0909090909090908</v>
      </c>
      <c r="F8" s="21">
        <f>IF($E8&lt;=INDEX('Skill Reference'!$I$5:$I$24,MATCH($A8,'Skill Reference'!$A$5:$A$24,0)),1,IF($E8&lt;INDEX('Skill Reference'!$H$5:$H$24,MATCH($A8,'Skill Reference'!$A$5:$A$24,0)),1,IF($E8&lt;INDEX('Skill Reference'!$G$5:$G$24,MATCH($A8,'Skill Reference'!$A$5:$A$24,0)),2,IF($E8&lt;=INDEX('Skill Reference'!$F$5:$F$24,MATCH($A8,'Skill Reference'!$A$5:$A$24,0)),3+($E8-INDEX('Skill Reference'!$G$5:$G$24,MATCH($A8,'Skill Reference'!$A$5:$A$24,0)))/(INDEX('Skill Reference'!$F$5:$F$24,MATCH($A8,'Skill Reference'!$A$5:$A$24,0))-INDEX('Skill Reference'!$G$5:$G$24,MATCH($A8,'Skill Reference'!$A$5:$A$24,0))),IF($E8&lt;=INDEX('Skill Reference'!$E$5:$E$24,MATCH($A8,'Skill Reference'!$A$5:$A$24,0)),4+($E8-INDEX('Skill Reference'!$F$5:$F$24,MATCH($A8,'Skill Reference'!$A$5:$A$24,0)))/(INDEX('Skill Reference'!$E$5:$E$24,MATCH($A8,'Skill Reference'!$A$5:$A$24,0))-INDEX('Skill Reference'!$F$5:$F$24,MATCH($A8,'Skill Reference'!$A$5:$A$24,0))),5)))))</f>
        <v>3.5404821100421575</v>
      </c>
      <c r="G8" s="22">
        <f>$D8/SUM($D$8:$D$10)</f>
        <v>0.50450450450450446</v>
      </c>
      <c r="H8" s="21">
        <f>F8*G8</f>
        <v>1.7861891726338812</v>
      </c>
    </row>
    <row r="9" spans="1:8" x14ac:dyDescent="0.2">
      <c r="A9" s="17" t="s">
        <v>42</v>
      </c>
      <c r="B9" s="11">
        <v>485</v>
      </c>
      <c r="C9" s="18">
        <f>INDEX('Skill Reference'!$B$5:$B$24,MATCH($A9,'Skill Reference'!$A$5:$A$24,0))</f>
        <v>500</v>
      </c>
      <c r="D9" s="11">
        <v>32</v>
      </c>
      <c r="E9" s="20">
        <f>IF(INDEX('Skill Reference'!$D$5:$D$24,MATCH($A9,'Skill Reference'!$A$5:$A$24,0))="Yes",$C9/$B9,$B9/$C9)</f>
        <v>1.0309278350515463</v>
      </c>
      <c r="F9" s="21">
        <f>IF($E9&lt;=INDEX('Skill Reference'!$I$5:$I$24,MATCH($A9,'Skill Reference'!$A$5:$A$24,0)),1,IF($E9&lt;INDEX('Skill Reference'!$H$5:$H$24,MATCH($A9,'Skill Reference'!$A$5:$A$24,0)),1,IF($E9&lt;INDEX('Skill Reference'!$G$5:$G$24,MATCH($A9,'Skill Reference'!$A$5:$A$24,0)),2,IF($E9&lt;=INDEX('Skill Reference'!$F$5:$F$24,MATCH($A9,'Skill Reference'!$A$5:$A$24,0)),3+($E9-INDEX('Skill Reference'!$G$5:$G$24,MATCH($A9,'Skill Reference'!$A$5:$A$24,0)))/(INDEX('Skill Reference'!$F$5:$F$24,MATCH($A9,'Skill Reference'!$A$5:$A$24,0))-INDEX('Skill Reference'!$G$5:$G$24,MATCH($A9,'Skill Reference'!$A$5:$A$24,0))),IF($E9&lt;=INDEX('Skill Reference'!$E$5:$E$24,MATCH($A9,'Skill Reference'!$A$5:$A$24,0)),4+($E9-INDEX('Skill Reference'!$F$5:$F$24,MATCH($A9,'Skill Reference'!$A$5:$A$24,0)))/(INDEX('Skill Reference'!$E$5:$E$24,MATCH($A9,'Skill Reference'!$A$5:$A$24,0))-INDEX('Skill Reference'!$F$5:$F$24,MATCH($A9,'Skill Reference'!$A$5:$A$24,0))),5)))))</f>
        <v>3.3467246082011917</v>
      </c>
      <c r="G9" s="22">
        <f>$D9/SUM($D$8:$D$10)</f>
        <v>0.28828828828828829</v>
      </c>
      <c r="H9" s="21">
        <f>F9*G9</f>
        <v>0.96482150867061378</v>
      </c>
    </row>
    <row r="10" spans="1:8" x14ac:dyDescent="0.2">
      <c r="A10" s="17" t="s">
        <v>45</v>
      </c>
      <c r="B10" s="11">
        <v>17</v>
      </c>
      <c r="C10" s="18">
        <f>INDEX('Skill Reference'!$B$5:$B$24,MATCH($A10,'Skill Reference'!$A$5:$A$24,0))</f>
        <v>15</v>
      </c>
      <c r="D10" s="11">
        <v>23</v>
      </c>
      <c r="E10" s="20">
        <f>IF(INDEX('Skill Reference'!$D$5:$D$24,MATCH($A10,'Skill Reference'!$A$5:$A$24,0))="Yes",$C10/$B10,$B10/$C10)</f>
        <v>1.1333333333333333</v>
      </c>
      <c r="F10" s="21">
        <f>IF($E10&lt;=INDEX('Skill Reference'!$I$5:$I$24,MATCH($A10,'Skill Reference'!$A$5:$A$24,0)),1,IF($E10&lt;INDEX('Skill Reference'!$H$5:$H$24,MATCH($A10,'Skill Reference'!$A$5:$A$24,0)),1,IF($E10&lt;INDEX('Skill Reference'!$G$5:$G$24,MATCH($A10,'Skill Reference'!$A$5:$A$24,0)),2,IF($E10&lt;=INDEX('Skill Reference'!$F$5:$F$24,MATCH($A10,'Skill Reference'!$A$5:$A$24,0)),3+($E10-INDEX('Skill Reference'!$G$5:$G$24,MATCH($A10,'Skill Reference'!$A$5:$A$24,0)))/(INDEX('Skill Reference'!$F$5:$F$24,MATCH($A10,'Skill Reference'!$A$5:$A$24,0))-INDEX('Skill Reference'!$G$5:$G$24,MATCH($A10,'Skill Reference'!$A$5:$A$24,0))),IF($E10&lt;=INDEX('Skill Reference'!$E$5:$E$24,MATCH($A10,'Skill Reference'!$A$5:$A$24,0)),4+($E10-INDEX('Skill Reference'!$F$5:$F$24,MATCH($A10,'Skill Reference'!$A$5:$A$24,0)))/(INDEX('Skill Reference'!$E$5:$E$24,MATCH($A10,'Skill Reference'!$A$5:$A$24,0))-INDEX('Skill Reference'!$F$5:$F$24,MATCH($A10,'Skill Reference'!$A$5:$A$24,0))),5)))))</f>
        <v>3.7936507936507939</v>
      </c>
      <c r="G10" s="22">
        <f>$D10/SUM($D$8:$D$10)</f>
        <v>0.2072072072072072</v>
      </c>
      <c r="H10" s="21">
        <f>F10*G10</f>
        <v>0.78607178607178607</v>
      </c>
    </row>
    <row r="11" spans="1:8" x14ac:dyDescent="0.2">
      <c r="A11" s="6" t="s">
        <v>68</v>
      </c>
      <c r="D11" s="18">
        <f>SUM(D8:D10)</f>
        <v>111</v>
      </c>
    </row>
    <row r="12" spans="1:8" ht="16" x14ac:dyDescent="0.2">
      <c r="A12" s="6" t="s">
        <v>69</v>
      </c>
      <c r="H12" s="23">
        <f>SUM(H8:H10)</f>
        <v>3.5370824673762811</v>
      </c>
    </row>
    <row r="14" spans="1:8" x14ac:dyDescent="0.2">
      <c r="A14" s="24" t="s">
        <v>70</v>
      </c>
      <c r="B14" s="19" t="str">
        <f>IF(H12&gt;=2.99,"Pass","Fail")</f>
        <v>Pass</v>
      </c>
    </row>
  </sheetData>
  <mergeCells count="1">
    <mergeCell ref="A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0" customWidth="1"/>
    <col min="3" max="3" width="12" customWidth="1"/>
    <col min="4" max="4" width="10" customWidth="1"/>
    <col min="5" max="5" width="14" customWidth="1"/>
    <col min="6" max="6" width="16" customWidth="1"/>
  </cols>
  <sheetData>
    <row r="1" spans="1:6" ht="18" x14ac:dyDescent="0.2">
      <c r="A1" s="8" t="s">
        <v>71</v>
      </c>
    </row>
    <row r="2" spans="1:6" x14ac:dyDescent="0.2">
      <c r="A2" s="4" t="s">
        <v>72</v>
      </c>
    </row>
    <row r="4" spans="1:6" ht="39.75" customHeight="1" x14ac:dyDescent="0.2">
      <c r="A4" s="2" t="s">
        <v>73</v>
      </c>
      <c r="B4" s="2"/>
      <c r="C4" s="2"/>
      <c r="D4" s="2"/>
      <c r="E4" s="2"/>
      <c r="F4" s="2"/>
    </row>
    <row r="9" spans="1:6" ht="25.5" customHeight="1" x14ac:dyDescent="0.2">
      <c r="A9" s="9" t="s">
        <v>18</v>
      </c>
      <c r="B9" s="9" t="s">
        <v>74</v>
      </c>
      <c r="C9" s="9" t="s">
        <v>75</v>
      </c>
      <c r="D9" s="9" t="s">
        <v>76</v>
      </c>
      <c r="E9" s="9" t="s">
        <v>77</v>
      </c>
      <c r="F9" s="9" t="s">
        <v>78</v>
      </c>
    </row>
    <row r="10" spans="1:6" x14ac:dyDescent="0.2">
      <c r="A10" s="17" t="s">
        <v>31</v>
      </c>
      <c r="B10" s="12">
        <v>5</v>
      </c>
      <c r="C10" s="12">
        <v>2</v>
      </c>
      <c r="D10" s="12">
        <v>1</v>
      </c>
      <c r="E10" s="25">
        <f>INDEX('Skill Reference'!$C$5:$C$24,MATCH($A10,'Skill Reference'!$A$5:$A$24,0))</f>
        <v>8</v>
      </c>
      <c r="F10" s="25">
        <f>E10*B10</f>
        <v>40</v>
      </c>
    </row>
    <row r="11" spans="1:6" x14ac:dyDescent="0.2">
      <c r="A11" s="17" t="s">
        <v>44</v>
      </c>
      <c r="B11" s="12">
        <v>3</v>
      </c>
      <c r="C11" s="12">
        <v>1</v>
      </c>
      <c r="D11" s="12">
        <v>1</v>
      </c>
      <c r="E11" s="25">
        <f>INDEX('Skill Reference'!$C$5:$C$24,MATCH($A11,'Skill Reference'!$A$5:$A$24,0))</f>
        <v>25</v>
      </c>
      <c r="F11" s="25">
        <f>E11*B11</f>
        <v>75</v>
      </c>
    </row>
    <row r="13" spans="1:6" x14ac:dyDescent="0.2">
      <c r="A13" s="6" t="s">
        <v>79</v>
      </c>
      <c r="B13" s="25">
        <f>SUM(B10:B11)</f>
        <v>8</v>
      </c>
      <c r="C13" s="25">
        <f>SUM(C10:C11)</f>
        <v>3</v>
      </c>
      <c r="D13" s="25">
        <f>SUM(D10:D11)</f>
        <v>2</v>
      </c>
      <c r="F13" s="25">
        <f>SUM(F10:F11)</f>
        <v>115</v>
      </c>
    </row>
    <row r="15" spans="1:6" ht="16" x14ac:dyDescent="0.2">
      <c r="A15" s="6" t="s">
        <v>80</v>
      </c>
      <c r="B15" s="26">
        <f>(B13-D13)/B13</f>
        <v>0.75</v>
      </c>
    </row>
    <row r="16" spans="1:6" ht="16" x14ac:dyDescent="0.2">
      <c r="A16" s="6" t="s">
        <v>81</v>
      </c>
      <c r="B16" s="26">
        <f>(F13-C13)/F13</f>
        <v>0.97391304347826091</v>
      </c>
    </row>
  </sheetData>
  <mergeCells count="1"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tabSelected="1" zoomScaleNormal="100" workbookViewId="0">
      <selection activeCell="B45" sqref="B45"/>
    </sheetView>
  </sheetViews>
  <sheetFormatPr baseColWidth="10" defaultColWidth="8.6640625" defaultRowHeight="15" x14ac:dyDescent="0.2"/>
  <cols>
    <col min="1" max="1" width="33" customWidth="1"/>
    <col min="2" max="4" width="12" customWidth="1"/>
    <col min="5" max="5" width="10" customWidth="1"/>
    <col min="6" max="7" width="14" customWidth="1"/>
    <col min="8" max="8" width="10" customWidth="1"/>
  </cols>
  <sheetData>
    <row r="1" spans="1:8" ht="18" x14ac:dyDescent="0.2">
      <c r="A1" s="8" t="s">
        <v>82</v>
      </c>
    </row>
    <row r="2" spans="1:8" x14ac:dyDescent="0.2">
      <c r="A2" s="4" t="s">
        <v>83</v>
      </c>
    </row>
    <row r="4" spans="1:8" ht="39.75" customHeight="1" x14ac:dyDescent="0.2">
      <c r="A4" s="2" t="s">
        <v>84</v>
      </c>
      <c r="B4" s="2"/>
      <c r="C4" s="2"/>
      <c r="D4" s="2"/>
      <c r="E4" s="2"/>
      <c r="F4" s="2"/>
      <c r="G4" s="2"/>
      <c r="H4" s="2"/>
    </row>
    <row r="8" spans="1:8" x14ac:dyDescent="0.2">
      <c r="A8" s="27" t="s">
        <v>85</v>
      </c>
      <c r="B8" s="27" t="s">
        <v>86</v>
      </c>
      <c r="C8" s="27" t="s">
        <v>80</v>
      </c>
      <c r="D8" s="27" t="s">
        <v>81</v>
      </c>
      <c r="E8" s="27" t="s">
        <v>87</v>
      </c>
      <c r="F8" s="27" t="s">
        <v>88</v>
      </c>
      <c r="G8" s="27" t="s">
        <v>89</v>
      </c>
    </row>
    <row r="9" spans="1:8" x14ac:dyDescent="0.2">
      <c r="A9" s="17" t="s">
        <v>90</v>
      </c>
      <c r="B9" s="28">
        <v>3.42</v>
      </c>
      <c r="C9" s="14">
        <v>1</v>
      </c>
      <c r="D9" s="14">
        <v>0.97389999999999999</v>
      </c>
      <c r="E9" s="17" t="s">
        <v>91</v>
      </c>
      <c r="F9" s="17" t="s">
        <v>92</v>
      </c>
      <c r="G9" s="19" t="str">
        <f t="shared" ref="G9:G14" si="0">IF(AND($B9&gt;=2.99,OR($C9="",$C9&gt;=0.95),OR($D9="",$D9&gt;=0.95)),"Pass","Fail")</f>
        <v>Pass</v>
      </c>
    </row>
    <row r="10" spans="1:8" x14ac:dyDescent="0.2">
      <c r="A10" s="17" t="s">
        <v>93</v>
      </c>
      <c r="B10" s="28">
        <v>2.4300000000000002</v>
      </c>
      <c r="C10" s="14">
        <v>1</v>
      </c>
      <c r="D10" s="14">
        <v>1</v>
      </c>
      <c r="E10" s="17" t="s">
        <v>91</v>
      </c>
      <c r="F10" s="17" t="s">
        <v>92</v>
      </c>
      <c r="G10" s="19" t="str">
        <f t="shared" si="0"/>
        <v>Fail</v>
      </c>
    </row>
    <row r="11" spans="1:8" x14ac:dyDescent="0.2">
      <c r="A11" s="17" t="s">
        <v>94</v>
      </c>
      <c r="B11" s="28">
        <v>4.63</v>
      </c>
      <c r="C11" s="14">
        <v>1</v>
      </c>
      <c r="D11" s="14">
        <v>0.95650000000000002</v>
      </c>
      <c r="E11" s="17" t="s">
        <v>95</v>
      </c>
      <c r="F11" s="17" t="s">
        <v>92</v>
      </c>
      <c r="G11" s="19" t="str">
        <f t="shared" si="0"/>
        <v>Pass</v>
      </c>
    </row>
    <row r="12" spans="1:8" x14ac:dyDescent="0.2">
      <c r="A12" s="17" t="s">
        <v>96</v>
      </c>
      <c r="B12" s="28">
        <v>3.05</v>
      </c>
      <c r="C12" s="14">
        <v>0.93300000000000005</v>
      </c>
      <c r="D12" s="29"/>
      <c r="E12" s="17" t="s">
        <v>95</v>
      </c>
      <c r="F12" s="17" t="s">
        <v>97</v>
      </c>
      <c r="G12" s="19" t="str">
        <f t="shared" si="0"/>
        <v>Fail</v>
      </c>
    </row>
    <row r="13" spans="1:8" x14ac:dyDescent="0.2">
      <c r="A13" s="17" t="s">
        <v>98</v>
      </c>
      <c r="B13" s="28">
        <v>1.96</v>
      </c>
      <c r="C13" s="29"/>
      <c r="D13" s="29"/>
      <c r="E13" s="17" t="s">
        <v>91</v>
      </c>
      <c r="F13" s="17" t="s">
        <v>97</v>
      </c>
      <c r="G13" s="19" t="str">
        <f t="shared" si="0"/>
        <v>Fail</v>
      </c>
    </row>
    <row r="14" spans="1:8" x14ac:dyDescent="0.2">
      <c r="A14" s="17" t="s">
        <v>99</v>
      </c>
      <c r="B14" s="28">
        <v>5</v>
      </c>
      <c r="C14" s="29"/>
      <c r="D14" s="29"/>
      <c r="E14" s="17" t="s">
        <v>95</v>
      </c>
      <c r="F14" s="17" t="s">
        <v>97</v>
      </c>
      <c r="G14" s="19" t="str">
        <f t="shared" si="0"/>
        <v>Pass</v>
      </c>
    </row>
    <row r="17" spans="1:8" x14ac:dyDescent="0.2">
      <c r="A17" s="6" t="s">
        <v>100</v>
      </c>
      <c r="B17" s="22">
        <f>COUNTIF(G9:G14,"Pass")/COUNTA(A9:A14)</f>
        <v>0.5</v>
      </c>
    </row>
    <row r="18" spans="1:8" ht="19.5" customHeight="1" x14ac:dyDescent="0.2">
      <c r="A18" s="6" t="s">
        <v>101</v>
      </c>
      <c r="B18" s="22">
        <f>COUNTIF(B9:B14,"&gt;=2.99")/COUNTA(A9:A14)</f>
        <v>0.66666666666666663</v>
      </c>
      <c r="C18" s="1" t="s">
        <v>102</v>
      </c>
      <c r="D18" s="1"/>
      <c r="E18" s="1"/>
      <c r="F18" s="1"/>
      <c r="G18" s="1"/>
    </row>
    <row r="20" spans="1:8" x14ac:dyDescent="0.2">
      <c r="A20" s="6" t="s">
        <v>103</v>
      </c>
      <c r="B20" s="22">
        <f>COUNTIFS(E9:E14,"Lea",G9:G14,"Pass")/COUNTIF(E9:E14,"Lea")</f>
        <v>0.33333333333333331</v>
      </c>
    </row>
    <row r="21" spans="1:8" x14ac:dyDescent="0.2">
      <c r="A21" s="6" t="s">
        <v>104</v>
      </c>
      <c r="B21" s="22">
        <f>COUNTIFS(F9:F14,"Archie",G9:G14,"Pass")/COUNTIF(F9:F14,"Archie")</f>
        <v>0.66666666666666663</v>
      </c>
    </row>
    <row r="22" spans="1:8" ht="15" customHeight="1" x14ac:dyDescent="0.2">
      <c r="A22" s="1" t="s">
        <v>105</v>
      </c>
      <c r="B22" s="1"/>
      <c r="C22" s="1"/>
      <c r="D22" s="1"/>
      <c r="E22" s="1"/>
      <c r="F22" s="1"/>
      <c r="G22" s="1"/>
      <c r="H22" s="1"/>
    </row>
  </sheetData>
  <mergeCells count="3">
    <mergeCell ref="A4:H4"/>
    <mergeCell ref="C18:G18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Skill Reference</vt:lpstr>
      <vt:lpstr>Skill Rating Calc</vt:lpstr>
      <vt:lpstr>Final Production Rate</vt:lpstr>
      <vt:lpstr>DPU &amp; DPO</vt:lpstr>
      <vt:lpstr>Pass-Fail &amp; Team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office10264</cp:lastModifiedBy>
  <cp:revision>0</cp:revision>
  <dcterms:created xsi:type="dcterms:W3CDTF">2026-07-21T21:50:52Z</dcterms:created>
  <dcterms:modified xsi:type="dcterms:W3CDTF">2026-07-21T21:53:21Z</dcterms:modified>
  <dc:language>en-US</dc:language>
</cp:coreProperties>
</file>