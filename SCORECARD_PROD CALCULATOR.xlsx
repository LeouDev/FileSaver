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leou_comendador_optum_com/Documents/PRODUCTION/ramp 2024/TOOLS/"/>
    </mc:Choice>
  </mc:AlternateContent>
  <xr:revisionPtr revIDLastSave="328" documentId="8_{4EECCECE-0CEA-4695-BD78-4265234B69F9}" xr6:coauthVersionLast="47" xr6:coauthVersionMax="47" xr10:uidLastSave="{45152FDC-F7E3-4252-B4F0-6EBD6156F27F}"/>
  <bookViews>
    <workbookView xWindow="-108" yWindow="-108" windowWidth="23256" windowHeight="13896" xr2:uid="{10F4F513-ED69-4C9D-A189-BA10A081844B}"/>
  </bookViews>
  <sheets>
    <sheet name="Sheet1" sheetId="1" r:id="rId1"/>
    <sheet name="Sheet2" sheetId="3" r:id="rId2"/>
    <sheet name="REFERENCE" sheetId="2" r:id="rId3"/>
  </sheets>
  <definedNames>
    <definedName name="_xlnm._FilterDatabase" localSheetId="0" hidden="1">Sheet1!$B$2:$R$9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F8" i="3"/>
  <c r="H7" i="3"/>
  <c r="H6" i="3"/>
  <c r="H5" i="3"/>
  <c r="H4" i="3"/>
  <c r="G8" i="3"/>
  <c r="H19" i="1"/>
  <c r="D19" i="1"/>
  <c r="E21" i="1"/>
  <c r="H20" i="1" l="1"/>
  <c r="H6" i="1"/>
  <c r="I6" i="1" s="1"/>
  <c r="K4" i="1" a="1"/>
  <c r="K4" i="1" s="1"/>
  <c r="H4" i="1"/>
  <c r="K5" i="1" a="1"/>
  <c r="K5" i="1" s="1"/>
  <c r="K6" i="1" a="1"/>
  <c r="K6" i="1" s="1"/>
  <c r="K7" i="1" a="1"/>
  <c r="K7" i="1" s="1"/>
  <c r="K8" i="1" a="1"/>
  <c r="K8" i="1" s="1"/>
  <c r="K9" i="1" a="1"/>
  <c r="K9" i="1" s="1"/>
  <c r="K3" i="1" a="1"/>
  <c r="K3" i="1" s="1"/>
  <c r="J4" i="1" l="1"/>
  <c r="M4" i="1" s="1"/>
  <c r="I4" i="1"/>
  <c r="O4" i="1" s="1"/>
  <c r="G3" i="1"/>
  <c r="G5" i="1"/>
  <c r="G4" i="1"/>
  <c r="F3" i="1"/>
  <c r="H8" i="1"/>
  <c r="G8" i="1"/>
  <c r="F8" i="1"/>
  <c r="F7" i="1"/>
  <c r="F6" i="1"/>
  <c r="G6" i="1"/>
  <c r="J8" i="1" l="1"/>
  <c r="M8" i="1" s="1"/>
  <c r="L4" i="1"/>
  <c r="N4" i="1" s="1"/>
  <c r="J3" i="1"/>
  <c r="M3" i="1" s="1"/>
  <c r="I8" i="1"/>
  <c r="I3" i="1"/>
  <c r="F4" i="1"/>
  <c r="F5" i="1"/>
  <c r="F9" i="1"/>
  <c r="H9" i="1"/>
  <c r="H7" i="1"/>
  <c r="H5" i="1"/>
  <c r="G9" i="1"/>
  <c r="G7" i="1"/>
  <c r="O8" i="1" l="1"/>
  <c r="Q8" i="1" s="1"/>
  <c r="L8" i="1"/>
  <c r="N8" i="1" s="1"/>
  <c r="I5" i="1"/>
  <c r="O5" i="1" s="1"/>
  <c r="L3" i="1"/>
  <c r="N3" i="1" s="1"/>
  <c r="O3" i="1" s="1"/>
  <c r="Q3" i="1" s="1"/>
  <c r="J7" i="1"/>
  <c r="M7" i="1" s="1"/>
  <c r="I7" i="1"/>
  <c r="J9" i="1"/>
  <c r="M9" i="1" s="1"/>
  <c r="I9" i="1"/>
  <c r="J6" i="1"/>
  <c r="J5" i="1"/>
  <c r="M5" i="1" s="1"/>
  <c r="O7" i="1" l="1"/>
  <c r="Q7" i="1" s="1"/>
  <c r="L7" i="1"/>
  <c r="N7" i="1" s="1"/>
  <c r="O9" i="1"/>
  <c r="Q9" i="1" s="1"/>
  <c r="L5" i="1"/>
  <c r="N5" i="1" s="1"/>
  <c r="L9" i="1"/>
  <c r="N9" i="1" s="1"/>
  <c r="M6" i="1"/>
  <c r="L6" i="1"/>
  <c r="N6" i="1" s="1"/>
  <c r="Q5" i="1"/>
  <c r="Q4" i="1"/>
  <c r="O6" i="1" l="1"/>
  <c r="Q6" i="1" s="1"/>
  <c r="R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<sst xmlns="http://schemas.openxmlformats.org/spreadsheetml/2006/main" count="62" uniqueCount="56">
  <si>
    <t>PROD_SKILL</t>
  </si>
  <si>
    <t>ACTUAL</t>
  </si>
  <si>
    <t>PROD_HOURS</t>
  </si>
  <si>
    <t>TARGET</t>
  </si>
  <si>
    <t>WEIGHTAGE</t>
  </si>
  <si>
    <t>PREV_RATING</t>
  </si>
  <si>
    <t>PTG PER SKILL</t>
  </si>
  <si>
    <t>PTG RATING (NEW)</t>
  </si>
  <si>
    <t>Min Rating</t>
  </si>
  <si>
    <t>Max Rating</t>
  </si>
  <si>
    <t>PTG-Min Rating</t>
  </si>
  <si>
    <t>Max_Rating-Min_Rating</t>
  </si>
  <si>
    <t>Fractional Progress</t>
  </si>
  <si>
    <t>NEW PROD RATE per Skill</t>
  </si>
  <si>
    <t>New prod Weightage</t>
  </si>
  <si>
    <t>FINAL PROD RATE</t>
  </si>
  <si>
    <t>PART D AHT</t>
  </si>
  <si>
    <t>Clinical Appeals</t>
  </si>
  <si>
    <t>GLP-1 CPH</t>
  </si>
  <si>
    <t>GEN_PA AHT</t>
  </si>
  <si>
    <t>OCN CPH</t>
  </si>
  <si>
    <t>MPA Outreach</t>
  </si>
  <si>
    <t>EDITS CPH</t>
  </si>
  <si>
    <t>To be updated</t>
  </si>
  <si>
    <t>(Effeciency - Min Rating)</t>
  </si>
  <si>
    <t>Do not update</t>
  </si>
  <si>
    <t>(Min Rating - Maximum Rating)</t>
  </si>
  <si>
    <t>Skill Type</t>
  </si>
  <si>
    <t>5</t>
  </si>
  <si>
    <t>4</t>
  </si>
  <si>
    <t>3</t>
  </si>
  <si>
    <t>2</t>
  </si>
  <si>
    <t>1</t>
  </si>
  <si>
    <t>B vs D</t>
  </si>
  <si>
    <t>C&amp;S Pharma Admin</t>
  </si>
  <si>
    <t>C&amp;S Appeals Verification</t>
  </si>
  <si>
    <t>AV Commercial</t>
  </si>
  <si>
    <t>A&amp;M - Cancellation WB</t>
  </si>
  <si>
    <t>A&amp;M - Cancellation SP</t>
  </si>
  <si>
    <t>Outreach Denial</t>
  </si>
  <si>
    <t>OBD Phone</t>
  </si>
  <si>
    <t>FAX CPH</t>
  </si>
  <si>
    <t>UHCWest Phone</t>
  </si>
  <si>
    <t>Clinical Appeals Phone</t>
  </si>
  <si>
    <t>Misroutes</t>
  </si>
  <si>
    <t>Fax CPH</t>
  </si>
  <si>
    <t>AHT</t>
  </si>
  <si>
    <t>Hold</t>
  </si>
  <si>
    <t>ACW</t>
  </si>
  <si>
    <t>Talk Time</t>
  </si>
  <si>
    <t>Time and Motion</t>
  </si>
  <si>
    <t>Authentication</t>
  </si>
  <si>
    <t>Investigation</t>
  </si>
  <si>
    <t>Resolution</t>
  </si>
  <si>
    <t>Benchmark</t>
  </si>
  <si>
    <t>Probing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</si>
</sst>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0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1" applyNumberFormat="1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 applyProtection="1">
      <alignment horizontal="center" vertical="center"/>
    </xf>
    <xf numFmtId="9" fontId="0" fillId="0" borderId="0" xfId="1" applyFont="1"/>
    <xf numFmtId="10" fontId="0" fillId="0" borderId="0" xfId="1" applyNumberFormat="1" applyFont="1"/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41087-C81D-4DCE-A2FC-86545050DD06}" name="Table2" displayName="Table2" ref="A2:F21" totalsRowShown="0">
  <autoFilter ref="A2:F21" xr:uid="{27241087-C81D-4DCE-A2FC-86545050DD06}"/>
  <tableColumns count="6">
    <tableColumn id="1" xr3:uid="{A437000E-8AF7-449F-9C8B-1846859CD9E2}" name="Skill Type"/>
    <tableColumn id="2" xr3:uid="{09D8C46C-33EC-43A4-96A7-9DF276C14FD6}" name="5" dataDxfId="4"/>
    <tableColumn id="3" xr3:uid="{17771851-2C41-4A81-9B60-F2B7A5E90753}" name="4" dataDxfId="3"/>
    <tableColumn id="4" xr3:uid="{D1B76A6A-CA62-4551-9DE7-B9190A708584}" name="3" dataDxfId="2"/>
    <tableColumn id="5" xr3:uid="{9D6F559F-58F7-4D14-B2FD-48805AA7E666}" name="2" dataDxfId="1"/>
    <tableColumn id="6" xr3:uid="{4A89C10B-6109-42E5-A2CA-98FA212D5FAF}" name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2481-D0E5-440D-B746-35FFFEC88726}">
  <dimension ref="B2:R22"/>
  <sheetViews>
    <sheetView showGridLines="0" tabSelected="1" zoomScale="120" zoomScaleNormal="120" workbookViewId="0">
      <selection activeCell="H4" sqref="H4"/>
    </sheetView>
  </sheetViews>
  <sheetFormatPr defaultRowHeight="14.4" x14ac:dyDescent="0.3"/>
  <cols>
    <col min="2" max="2" width="16.5546875" customWidth="1"/>
    <col min="3" max="3" width="13.33203125" customWidth="1"/>
    <col min="4" max="4" width="15.44140625" customWidth="1"/>
    <col min="5" max="5" width="11" customWidth="1"/>
    <col min="6" max="6" width="11.6640625" customWidth="1"/>
    <col min="7" max="7" width="16.33203125" customWidth="1"/>
    <col min="8" max="8" width="13.6640625" customWidth="1"/>
    <col min="9" max="9" width="16.6640625" customWidth="1"/>
    <col min="10" max="14" width="16" customWidth="1"/>
    <col min="15" max="16" width="19.44140625" customWidth="1"/>
    <col min="17" max="17" width="17.6640625" customWidth="1"/>
    <col min="18" max="18" width="15.33203125" customWidth="1"/>
  </cols>
  <sheetData>
    <row r="2" spans="2:18" ht="46.95" customHeight="1" x14ac:dyDescent="0.3">
      <c r="B2" s="4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/>
      <c r="Q2" s="4" t="s">
        <v>14</v>
      </c>
      <c r="R2" s="4" t="s">
        <v>15</v>
      </c>
    </row>
    <row r="3" spans="2:18" x14ac:dyDescent="0.3">
      <c r="B3" s="3" t="s">
        <v>16</v>
      </c>
      <c r="C3" s="6"/>
      <c r="D3" s="6"/>
      <c r="E3" s="8">
        <v>500</v>
      </c>
      <c r="F3" s="7" t="e">
        <f>D3/SUM($D$3:$D$9)</f>
        <v>#DIV/0!</v>
      </c>
      <c r="G3" s="8">
        <f>IF(C3&lt;=411.42,5,
   IF(C3&lt;=445.31,4,
      IF(C3&lt;=485,3,
         IF(C3&lt;=567.29,2,1)
      )
   )
)</f>
        <v>5</v>
      </c>
      <c r="H3" s="7">
        <f>((E3-C3)+E3)/E3</f>
        <v>2</v>
      </c>
      <c r="I3" s="9">
        <f>IF(H3&gt;=VLOOKUP(B3,Table2[#All],2,0),5,
IF(H3&gt;=VLOOKUP(B3,Table2[#All],3,0),4,
IF(H3&gt;=VLOOKUP(B3,Table2[#All],4,0),3,
IF(H3&gt;=VLOOKUP(B3,Table2[#All],5,0),2,1))))</f>
        <v>5</v>
      </c>
      <c r="J3" s="7">
        <f>IF(H3&gt;=VLOOKUP(B3,Table2[#All],2,0),VLOOKUP(B3,Table2[#All],2,0),IF(H3&gt;=VLOOKUP(B3,Table2[#All],3,0),VLOOKUP(B3,Table2[#All],3,0),IF(H3&gt;=VLOOKUP(B3,Table2[#All],4,0),VLOOKUP(B3,Table2[#All],4,0),IF(H3&gt;=VLOOKUP(B3,Table2[#All],5,0),VLOOKUP(B3,Table2[#All],5,0),VLOOKUP(B3,Table2[#All],5,0)-0.01))))</f>
        <v>1.1788000000000001</v>
      </c>
      <c r="K3" s="7" cm="1">
        <f t="array" ref="K3">_xlfn.XLOOKUP(B3,Table2[[#All],[Skill Type]],Table2[[#All],[5]])</f>
        <v>1.1788000000000001</v>
      </c>
      <c r="L3" s="7">
        <f>H3-J3</f>
        <v>0.82119999999999993</v>
      </c>
      <c r="M3" s="7">
        <f>K3-J3</f>
        <v>0</v>
      </c>
      <c r="N3" s="7" t="e">
        <f>L3/M3</f>
        <v>#DIV/0!</v>
      </c>
      <c r="O3" s="10" t="e">
        <f>IF(I3&lt;=3,I3,I3+N3)</f>
        <v>#DIV/0!</v>
      </c>
      <c r="P3" s="8"/>
      <c r="Q3" s="8" t="e">
        <f>O3*F3</f>
        <v>#DIV/0!</v>
      </c>
      <c r="R3" s="14" t="e">
        <f>SUM(Q3:Q9)</f>
        <v>#DIV/0!</v>
      </c>
    </row>
    <row r="4" spans="2:18" x14ac:dyDescent="0.3">
      <c r="B4" s="3" t="s">
        <v>45</v>
      </c>
      <c r="C4" s="6"/>
      <c r="D4" s="6"/>
      <c r="E4" s="8">
        <v>11</v>
      </c>
      <c r="F4" s="7" t="e">
        <f t="shared" ref="F4:F9" si="0">D4/SUM($D$3:$D$9)</f>
        <v>#DIV/0!</v>
      </c>
      <c r="G4" s="8">
        <f>IF(C4&gt;=14.01,5,IF(AND(C4&gt;=12.85,C4&lt;=14),4,IF(AND(C4&gt;=11,C4&lt;=12.84),3,IF(AND(C4&gt;=9.85,C4&lt;=10.99),2,IF(C4&lt;=9.84,1,"")))))</f>
        <v>1</v>
      </c>
      <c r="H4" s="7">
        <f>C4/E4</f>
        <v>0</v>
      </c>
      <c r="I4" s="9">
        <f>IF(H4&gt;=VLOOKUP(B4,Table2[#All],2,0),5,
IF(H4&gt;=VLOOKUP(B4,Table2[#All],3,0),4,
IF(H4&gt;=VLOOKUP(B4,Table2[#All],4,0),3,
IF(H4&gt;=VLOOKUP(B4,Table2[#All],5,0),2,1))))</f>
        <v>1</v>
      </c>
      <c r="J4" s="7">
        <f>IF(H4&gt;=VLOOKUP(B4,Table2[#All],2,0),VLOOKUP(B4,Table2[#All],2,0),IF(H4&gt;=VLOOKUP(B4,Table2[#All],3,0),VLOOKUP(B4,Table2[#All],3,0),IF(H4&gt;=VLOOKUP(B4,Table2[#All],4,0),VLOOKUP(B4,Table2[#All],4,0),IF(H4&gt;=VLOOKUP(B4,Table2[#All],5,0),VLOOKUP(B4,Table2[#All],5,0),VLOOKUP(B4,Table2[#All],5,0)-0.01))))</f>
        <v>0.88549999999999995</v>
      </c>
      <c r="K4" s="7" cm="1">
        <f t="array" ref="K4">_xlfn.XLOOKUP(B4,Table2[[#All],[Skill Type]],Table2[[#All],[5]])</f>
        <v>1.2726999999999999</v>
      </c>
      <c r="L4" s="7">
        <f>H4-J4</f>
        <v>-0.88549999999999995</v>
      </c>
      <c r="M4" s="7">
        <f>K4-J4</f>
        <v>0.38719999999999999</v>
      </c>
      <c r="N4" s="7">
        <f>L4/M4</f>
        <v>-2.2869318181818183</v>
      </c>
      <c r="O4" s="10">
        <f>IF(I4&lt;=3,I4,I4+N4)</f>
        <v>1</v>
      </c>
      <c r="P4" s="8"/>
      <c r="Q4" s="8" t="e">
        <f t="shared" ref="Q4:Q9" si="1">O4*F4</f>
        <v>#DIV/0!</v>
      </c>
      <c r="R4" s="14"/>
    </row>
    <row r="5" spans="2:18" x14ac:dyDescent="0.3">
      <c r="B5" s="3" t="s">
        <v>18</v>
      </c>
      <c r="C5" s="6"/>
      <c r="D5" s="6"/>
      <c r="E5" s="8">
        <v>15</v>
      </c>
      <c r="F5" s="7" t="e">
        <f t="shared" si="0"/>
        <v>#DIV/0!</v>
      </c>
      <c r="G5" s="8">
        <f>IF(C5&gt;=19.1,5,
   IF(C5&gt;=17.52,4,
      IF(C5&gt;=15,3,
         IF(C5&gt;=13.43,2,1)
      )
   )
)</f>
        <v>1</v>
      </c>
      <c r="H5" s="7">
        <f>C5/E5</f>
        <v>0</v>
      </c>
      <c r="I5" s="9">
        <f>IF(H5&gt;=VLOOKUP(B5,Table2[#All],2,0),5,
IF(H5&gt;=VLOOKUP(B5,Table2[#All],3,0),4,
IF(H5&gt;=VLOOKUP(B5,Table2[#All],4,0),3,
IF(H5&gt;=VLOOKUP(B5,Table2[#All],5,0),2,1))))</f>
        <v>1</v>
      </c>
      <c r="J5" s="7">
        <f>IF(H5&gt;=VLOOKUP(B5,Table2[#All],2,0),VLOOKUP(B5,Table2[#All],2,0),IF(H5&gt;=VLOOKUP(B5,Table2[#All],3,0),VLOOKUP(B5,Table2[#All],3,0),IF(H5&gt;=VLOOKUP(B5,Table2[#All],4,0),VLOOKUP(B5,Table2[#All],4,0),IF(H5&gt;=VLOOKUP(B5,Table2[#All],5,0),VLOOKUP(B5,Table2[#All],5,0),VLOOKUP(B5,Table2[#All],5,0)-0.01))))</f>
        <v>0.88500000000000001</v>
      </c>
      <c r="K5" s="7" cm="1">
        <f t="array" ref="K5">_xlfn.XLOOKUP(B5,Table2[[#All],[Skill Type]],Table2[[#All],[5]])</f>
        <v>1.2733000000000001</v>
      </c>
      <c r="L5" s="7">
        <f t="shared" ref="L5:L9" si="2">H5-J5</f>
        <v>-0.88500000000000001</v>
      </c>
      <c r="M5" s="7">
        <f t="shared" ref="M5:M9" si="3">K5-J5</f>
        <v>0.38830000000000009</v>
      </c>
      <c r="N5" s="7">
        <f t="shared" ref="N5:N9" si="4">L5/M5</f>
        <v>-2.2791655936131852</v>
      </c>
      <c r="O5" s="10">
        <f t="shared" ref="O5:O9" si="5">IF(I5&lt;=3,I5,I5+N5)</f>
        <v>1</v>
      </c>
      <c r="P5" s="8"/>
      <c r="Q5" s="8" t="e">
        <f t="shared" si="1"/>
        <v>#DIV/0!</v>
      </c>
      <c r="R5" s="14"/>
    </row>
    <row r="6" spans="2:18" x14ac:dyDescent="0.3">
      <c r="B6" s="3" t="s">
        <v>19</v>
      </c>
      <c r="C6" s="6"/>
      <c r="D6" s="6"/>
      <c r="E6" s="8">
        <v>515</v>
      </c>
      <c r="F6" s="7" t="e">
        <f t="shared" si="0"/>
        <v>#DIV/0!</v>
      </c>
      <c r="G6" s="8">
        <f>IF(C6&lt;=354.99,5,
   IF(C6&lt;=417.64,4,
      IF(C6&lt;=450,3,
         IF(C6&lt;=481.32,2,1)
      )
   )
)</f>
        <v>5</v>
      </c>
      <c r="H6" s="7">
        <f>((E6-C6)+E6)/E6</f>
        <v>2</v>
      </c>
      <c r="I6" s="9">
        <f>IF(H6&gt;=VLOOKUP(B6,Table2[#All],2,0),5,
IF(H6&gt;=VLOOKUP(B6,Table2[#All],3,0),4,
IF(H6&gt;=VLOOKUP(B6,Table2[#All],4,0),3,
IF(H6&gt;=VLOOKUP(B6,Table2[#All],5,0),2,1))))</f>
        <v>5</v>
      </c>
      <c r="J6" s="7">
        <f>IF(H6&gt;=VLOOKUP(B6,Table2[#All],2,0),VLOOKUP(B6,Table2[#All],2,0),IF(H6&gt;=VLOOKUP(B6,Table2[#All],3,0),VLOOKUP(B6,Table2[#All],3,0),IF(H6&gt;=VLOOKUP(B6,Table2[#All],4,0),VLOOKUP(B6,Table2[#All],4,0),IF(H6&gt;=VLOOKUP(B6,Table2[#All],5,0),VLOOKUP(B6,Table2[#All],5,0),VLOOKUP(B6,Table2[#All],5,0)-0.01))))</f>
        <v>1.2675000000000001</v>
      </c>
      <c r="K6" s="7" cm="1">
        <f t="array" ref="K6">_xlfn.XLOOKUP(B6,Table2[[#All],[Skill Type]],Table2[[#All],[5]])</f>
        <v>1.2675000000000001</v>
      </c>
      <c r="L6" s="7">
        <f t="shared" si="2"/>
        <v>0.73249999999999993</v>
      </c>
      <c r="M6" s="7">
        <f t="shared" si="3"/>
        <v>0</v>
      </c>
      <c r="N6" s="11">
        <f>IFERROR((L6/M6),0%)</f>
        <v>0</v>
      </c>
      <c r="O6" s="10">
        <f t="shared" si="5"/>
        <v>5</v>
      </c>
      <c r="P6" s="8"/>
      <c r="Q6" s="8" t="e">
        <f>O6*F6</f>
        <v>#DIV/0!</v>
      </c>
      <c r="R6" s="14"/>
    </row>
    <row r="7" spans="2:18" x14ac:dyDescent="0.3">
      <c r="B7" s="3" t="s">
        <v>20</v>
      </c>
      <c r="C7" s="6"/>
      <c r="D7" s="6"/>
      <c r="E7" s="8">
        <v>13.5</v>
      </c>
      <c r="F7" s="7" t="e">
        <f>D7/SUM($D$3:$D$9)</f>
        <v>#DIV/0!</v>
      </c>
      <c r="G7" s="8" t="str">
        <f>IF(C7&gt;=20,"5",IF(C7&gt;=16.5,"4",IF(C7&gt;=13.5,"3",IF(C7&gt;=9,"2","1"))))</f>
        <v>1</v>
      </c>
      <c r="H7" s="7">
        <f>C7/E7</f>
        <v>0</v>
      </c>
      <c r="I7" s="9">
        <f>IF(H7&gt;=VLOOKUP(B7,Table2[#All],2,0),5,
IF(H7&gt;=VLOOKUP(B7,Table2[#All],3,0),4,
IF(H7&gt;=VLOOKUP(B7,Table2[#All],4,0),3,
IF(H7&gt;=VLOOKUP(B7,Table2[#All],5,0),2,1))))</f>
        <v>1</v>
      </c>
      <c r="J7" s="7">
        <f>IF(H7&gt;=VLOOKUP(B7,Table2[#All],2,0),VLOOKUP(B7,Table2[#All],2,0),IF(H7&gt;=VLOOKUP(B7,Table2[#All],3,0),VLOOKUP(B7,Table2[#All],3,0),IF(H7&gt;=VLOOKUP(B7,Table2[#All],4,0),VLOOKUP(B7,Table2[#All],4,0),IF(H7&gt;=VLOOKUP(B7,Table2[#All],5,0),VLOOKUP(B7,Table2[#All],5,0),VLOOKUP(B7,Table2[#All],5,0)-0.01))))</f>
        <v>0.65669999999999995</v>
      </c>
      <c r="K7" s="7" cm="1">
        <f t="array" ref="K7">_xlfn.XLOOKUP(B7,Table2[[#All],[Skill Type]],Table2[[#All],[5]])</f>
        <v>1.5385</v>
      </c>
      <c r="L7" s="7">
        <f t="shared" si="2"/>
        <v>-0.65669999999999995</v>
      </c>
      <c r="M7" s="7">
        <f t="shared" si="3"/>
        <v>0.88180000000000003</v>
      </c>
      <c r="N7" s="7">
        <f t="shared" si="4"/>
        <v>-0.74472669539578129</v>
      </c>
      <c r="O7" s="10">
        <f t="shared" si="5"/>
        <v>1</v>
      </c>
      <c r="P7" s="8"/>
      <c r="Q7" s="8" t="e">
        <f t="shared" si="1"/>
        <v>#DIV/0!</v>
      </c>
      <c r="R7" s="14"/>
    </row>
    <row r="8" spans="2:18" x14ac:dyDescent="0.3">
      <c r="B8" s="3" t="s">
        <v>21</v>
      </c>
      <c r="C8" s="6"/>
      <c r="D8" s="6"/>
      <c r="E8" s="8">
        <v>6.17</v>
      </c>
      <c r="F8" s="7" t="e">
        <f>D8/SUM($D$3:$D$9)</f>
        <v>#DIV/0!</v>
      </c>
      <c r="G8" s="8">
        <f>IF(C8&gt;=14.25,5,IF(C8&gt;=11.71,4,IF(C8&gt;=9.5,3,IF(C8&gt;=7.39,2,1))))</f>
        <v>1</v>
      </c>
      <c r="H8" s="7">
        <f>C8/E8</f>
        <v>0</v>
      </c>
      <c r="I8" s="9">
        <f>IF(H8&gt;=VLOOKUP(B8,Table2[#All],2,0),5,
IF(H8&gt;=VLOOKUP(B8,Table2[#All],3,0),4,
IF(H8&gt;=VLOOKUP(B8,Table2[#All],4,0),3,
IF(H8&gt;=VLOOKUP(B8,Table2[#All],5,0),2,1))))</f>
        <v>1</v>
      </c>
      <c r="J8" s="7">
        <f>IF(H8&gt;=VLOOKUP(B8,Table2[#All],2,0),VLOOKUP(B8,Table2[#All],2,0),IF(H8&gt;=VLOOKUP(B8,Table2[#All],3,0),VLOOKUP(B8,Table2[#All],3,0),IF(H8&gt;=VLOOKUP(B8,Table2[#All],4,0),VLOOKUP(B8,Table2[#All],4,0),IF(H8&gt;=VLOOKUP(B8,Table2[#All],5,0),VLOOKUP(B8,Table2[#All],5,0),VLOOKUP(B8,Table2[#All],5,0)-0.01))))</f>
        <v>0.76790000000000003</v>
      </c>
      <c r="K8" s="7" cm="1">
        <f t="array" ref="K8">_xlfn.XLOOKUP(B8,Table2[[#All],[Skill Type]],Table2[[#All],[5]])</f>
        <v>1.5</v>
      </c>
      <c r="L8" s="7">
        <f t="shared" si="2"/>
        <v>-0.76790000000000003</v>
      </c>
      <c r="M8" s="7">
        <f t="shared" si="3"/>
        <v>0.73209999999999997</v>
      </c>
      <c r="N8" s="7">
        <f t="shared" si="4"/>
        <v>-1.048900423439421</v>
      </c>
      <c r="O8" s="10">
        <f t="shared" si="5"/>
        <v>1</v>
      </c>
      <c r="P8" s="8"/>
      <c r="Q8" s="8" t="e">
        <f t="shared" si="1"/>
        <v>#DIV/0!</v>
      </c>
      <c r="R8" s="14"/>
    </row>
    <row r="9" spans="2:18" x14ac:dyDescent="0.3">
      <c r="B9" s="3" t="s">
        <v>22</v>
      </c>
      <c r="C9" s="6"/>
      <c r="D9" s="6"/>
      <c r="E9" s="8">
        <v>8</v>
      </c>
      <c r="F9" s="7" t="e">
        <f t="shared" si="0"/>
        <v>#DIV/0!</v>
      </c>
      <c r="G9" s="8">
        <f>IF(C9&gt;=13.33,5,
   IF(C9&gt;=11.47,4,
      IF(C9&gt;=8,3,
         IF(C9&gt;=5.47,2,1))))</f>
        <v>1</v>
      </c>
      <c r="H9" s="7">
        <f>C9/E9</f>
        <v>0</v>
      </c>
      <c r="I9" s="9">
        <f>IF(H9&gt;=VLOOKUP(B9,Table2[#All],2,0),5,
IF(H9&gt;=VLOOKUP(B9,Table2[#All],3,0),4,
IF(H9&gt;=VLOOKUP(B9,Table2[#All],4,0),3,
IF(H9&gt;=VLOOKUP(B9,Table2[#All],5,0),2,1))))</f>
        <v>1</v>
      </c>
      <c r="J9" s="7">
        <f>IF(H9&gt;=VLOOKUP(B9,Table2[#All],2,0),VLOOKUP(B9,Table2[#All],2,0),IF(H9&gt;=VLOOKUP(B9,Table2[#All],3,0),VLOOKUP(B9,Table2[#All],3,0),IF(H9&gt;=VLOOKUP(B9,Table2[#All],4,0),VLOOKUP(B9,Table2[#All],4,0),IF(H9&gt;=VLOOKUP(B9,Table2[#All],5,0),VLOOKUP(B9,Table2[#All],5,0),VLOOKUP(B9,Table2[#All],5,0)-0.01))))</f>
        <v>0.67379999999999995</v>
      </c>
      <c r="K9" s="7" cm="1">
        <f t="array" ref="K9">_xlfn.XLOOKUP(B9,Table2[[#All],[Skill Type]],Table2[[#All],[5]])</f>
        <v>1.6662999999999999</v>
      </c>
      <c r="L9" s="7">
        <f t="shared" si="2"/>
        <v>-0.67379999999999995</v>
      </c>
      <c r="M9" s="7">
        <f t="shared" si="3"/>
        <v>0.99249999999999994</v>
      </c>
      <c r="N9" s="7">
        <f t="shared" si="4"/>
        <v>-0.67889168765743069</v>
      </c>
      <c r="O9" s="10">
        <f t="shared" si="5"/>
        <v>1</v>
      </c>
      <c r="P9" s="8"/>
      <c r="Q9" s="8" t="e">
        <f t="shared" si="1"/>
        <v>#DIV/0!</v>
      </c>
      <c r="R9" s="14"/>
    </row>
    <row r="15" spans="2:18" x14ac:dyDescent="0.3">
      <c r="B15" s="6"/>
      <c r="C15" t="s">
        <v>23</v>
      </c>
      <c r="H15" t="s">
        <v>24</v>
      </c>
    </row>
    <row r="16" spans="2:18" x14ac:dyDescent="0.3">
      <c r="B16" s="8"/>
      <c r="C16" t="s">
        <v>25</v>
      </c>
      <c r="H16" t="s">
        <v>26</v>
      </c>
    </row>
    <row r="19" spans="3:8" x14ac:dyDescent="0.3">
      <c r="D19">
        <f>D20-C20</f>
        <v>237</v>
      </c>
      <c r="E19">
        <v>12</v>
      </c>
      <c r="H19">
        <f>D19/E19</f>
        <v>19.75</v>
      </c>
    </row>
    <row r="20" spans="3:8" x14ac:dyDescent="0.3">
      <c r="C20">
        <v>513</v>
      </c>
      <c r="D20">
        <v>750</v>
      </c>
      <c r="E20">
        <v>68</v>
      </c>
      <c r="H20">
        <f>D20/E20</f>
        <v>11.029411764705882</v>
      </c>
    </row>
    <row r="21" spans="3:8" x14ac:dyDescent="0.3">
      <c r="C21">
        <v>56</v>
      </c>
      <c r="D21">
        <v>9.09</v>
      </c>
      <c r="E21">
        <f>68-12</f>
        <v>56</v>
      </c>
    </row>
    <row r="22" spans="3:8" x14ac:dyDescent="0.3">
      <c r="C22">
        <v>12</v>
      </c>
    </row>
  </sheetData>
  <autoFilter ref="B2:R9" xr:uid="{2BBF2481-D0E5-440D-B746-35FFFEC88726}"/>
  <mergeCells count="1">
    <mergeCell ref="R3:R9"/>
  </mergeCells>
  <pageMargins left="0.7" right="0.7" top="0.75" bottom="0.75" header="0.3" footer="0.3"/>
  <ignoredErrors>
    <ignoredError sqref="H6 N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4867-B430-414F-9167-1A8084F0026F}">
  <dimension ref="A2:H8"/>
  <sheetViews>
    <sheetView workbookViewId="0">
      <selection activeCell="F8" sqref="F8"/>
    </sheetView>
  </sheetViews>
  <sheetFormatPr defaultRowHeight="14.4" x14ac:dyDescent="0.3"/>
  <cols>
    <col min="1" max="1" width="14" bestFit="1" customWidth="1"/>
    <col min="5" max="5" width="16.109375" customWidth="1"/>
  </cols>
  <sheetData>
    <row r="2" spans="1:8" x14ac:dyDescent="0.3">
      <c r="A2" t="s">
        <v>46</v>
      </c>
    </row>
    <row r="3" spans="1:8" x14ac:dyDescent="0.3">
      <c r="A3" t="s">
        <v>49</v>
      </c>
      <c r="B3" t="s">
        <v>47</v>
      </c>
      <c r="C3" t="s">
        <v>48</v>
      </c>
      <c r="E3" t="s">
        <v>50</v>
      </c>
      <c r="G3" t="s">
        <v>54</v>
      </c>
    </row>
    <row r="4" spans="1:8" x14ac:dyDescent="0.3">
      <c r="E4" t="s">
        <v>51</v>
      </c>
      <c r="F4">
        <v>140</v>
      </c>
      <c r="G4">
        <v>120</v>
      </c>
      <c r="H4" s="13">
        <f>G4/F4</f>
        <v>0.8571428571428571</v>
      </c>
    </row>
    <row r="5" spans="1:8" x14ac:dyDescent="0.3">
      <c r="E5" t="s">
        <v>55</v>
      </c>
      <c r="F5">
        <v>25</v>
      </c>
      <c r="G5">
        <v>25</v>
      </c>
      <c r="H5" s="13">
        <f>G5/F5</f>
        <v>1</v>
      </c>
    </row>
    <row r="6" spans="1:8" x14ac:dyDescent="0.3">
      <c r="E6" t="s">
        <v>52</v>
      </c>
      <c r="F6">
        <v>175</v>
      </c>
      <c r="G6">
        <v>175</v>
      </c>
      <c r="H6" s="13">
        <f>G6/F6</f>
        <v>1</v>
      </c>
    </row>
    <row r="7" spans="1:8" x14ac:dyDescent="0.3">
      <c r="E7" t="s">
        <v>53</v>
      </c>
      <c r="F7">
        <v>150</v>
      </c>
      <c r="G7">
        <v>180</v>
      </c>
      <c r="H7" s="12">
        <f>G7/F7</f>
        <v>1.2</v>
      </c>
    </row>
    <row r="8" spans="1:8" x14ac:dyDescent="0.3">
      <c r="F8">
        <f>SUM(F4:F7)</f>
        <v>490</v>
      </c>
      <c r="G8">
        <f>SUM(G4:G7)</f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3A6E-9E08-49B4-8738-88ECE378DDE8}">
  <dimension ref="A2:F21"/>
  <sheetViews>
    <sheetView workbookViewId="0">
      <selection activeCell="E16" sqref="E16"/>
    </sheetView>
  </sheetViews>
  <sheetFormatPr defaultRowHeight="14.4" x14ac:dyDescent="0.3"/>
  <cols>
    <col min="1" max="1" width="24.33203125" customWidth="1"/>
  </cols>
  <sheetData>
    <row r="2" spans="1:6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3">
      <c r="A3" t="s">
        <v>20</v>
      </c>
      <c r="B3" s="1">
        <v>1.5385</v>
      </c>
      <c r="C3" s="1">
        <v>1.2222</v>
      </c>
      <c r="D3" s="2">
        <v>1</v>
      </c>
      <c r="E3" s="1">
        <v>0.66669999999999996</v>
      </c>
      <c r="F3" s="2">
        <v>0</v>
      </c>
    </row>
    <row r="4" spans="1:6" x14ac:dyDescent="0.3">
      <c r="A4" t="s">
        <v>21</v>
      </c>
      <c r="B4" s="2">
        <v>1.5</v>
      </c>
      <c r="C4" s="1">
        <v>1.2317</v>
      </c>
      <c r="D4" s="2">
        <v>1</v>
      </c>
      <c r="E4" s="1">
        <v>0.77790000000000004</v>
      </c>
      <c r="F4" s="2">
        <v>0</v>
      </c>
    </row>
    <row r="5" spans="1:6" x14ac:dyDescent="0.3">
      <c r="A5" t="s">
        <v>33</v>
      </c>
      <c r="B5" s="2">
        <v>1.45</v>
      </c>
      <c r="C5" s="1">
        <v>1.2601</v>
      </c>
      <c r="D5" s="2">
        <v>1</v>
      </c>
      <c r="E5" s="2">
        <v>0.75</v>
      </c>
      <c r="F5" s="2">
        <v>0</v>
      </c>
    </row>
    <row r="6" spans="1:6" x14ac:dyDescent="0.3">
      <c r="A6" t="s">
        <v>22</v>
      </c>
      <c r="B6" s="1">
        <v>1.6662999999999999</v>
      </c>
      <c r="C6" s="1">
        <v>1.4326000000000001</v>
      </c>
      <c r="D6" s="2">
        <v>1</v>
      </c>
      <c r="E6" s="1">
        <v>0.68379999999999996</v>
      </c>
      <c r="F6" s="2">
        <v>0</v>
      </c>
    </row>
    <row r="7" spans="1:6" x14ac:dyDescent="0.3">
      <c r="A7" t="s">
        <v>34</v>
      </c>
      <c r="B7" s="1">
        <v>1.5862000000000001</v>
      </c>
      <c r="C7" s="2">
        <v>1.3</v>
      </c>
      <c r="D7" s="2">
        <v>1</v>
      </c>
      <c r="E7" s="1">
        <v>0.71379999999999999</v>
      </c>
      <c r="F7" s="2">
        <v>0</v>
      </c>
    </row>
    <row r="8" spans="1:6" x14ac:dyDescent="0.3">
      <c r="A8" t="s">
        <v>35</v>
      </c>
      <c r="B8" s="1">
        <v>1.4177999999999999</v>
      </c>
      <c r="C8" s="1">
        <v>1.2356</v>
      </c>
      <c r="D8" s="2">
        <v>1</v>
      </c>
      <c r="E8" s="1">
        <v>0.77329999999999999</v>
      </c>
      <c r="F8" s="2">
        <v>0</v>
      </c>
    </row>
    <row r="9" spans="1:6" x14ac:dyDescent="0.3">
      <c r="A9" t="s">
        <v>36</v>
      </c>
      <c r="B9" s="1">
        <v>1.4177999999999999</v>
      </c>
      <c r="C9" s="1">
        <v>1.2356</v>
      </c>
      <c r="D9" s="2">
        <v>1</v>
      </c>
      <c r="E9" s="1">
        <v>0.77329999999999999</v>
      </c>
      <c r="F9" s="2">
        <v>0</v>
      </c>
    </row>
    <row r="10" spans="1:6" x14ac:dyDescent="0.3">
      <c r="A10" t="s">
        <v>17</v>
      </c>
      <c r="B10" s="1">
        <v>1.5094000000000001</v>
      </c>
      <c r="C10" s="1">
        <v>1.3112999999999999</v>
      </c>
      <c r="D10" s="2">
        <v>1</v>
      </c>
      <c r="E10" s="1">
        <v>0.86219999999999997</v>
      </c>
      <c r="F10" s="2">
        <v>0</v>
      </c>
    </row>
    <row r="11" spans="1:6" x14ac:dyDescent="0.3">
      <c r="A11" t="s">
        <v>37</v>
      </c>
      <c r="B11" s="2">
        <v>2.6</v>
      </c>
      <c r="C11" s="1">
        <v>1.9990000000000001</v>
      </c>
      <c r="D11" s="2">
        <v>1</v>
      </c>
      <c r="E11" s="2">
        <v>0.8</v>
      </c>
      <c r="F11" s="2">
        <v>0</v>
      </c>
    </row>
    <row r="12" spans="1:6" x14ac:dyDescent="0.3">
      <c r="A12" t="s">
        <v>38</v>
      </c>
      <c r="B12" s="1">
        <v>1.6667000000000001</v>
      </c>
      <c r="C12" s="1">
        <v>1.4157999999999999</v>
      </c>
      <c r="D12" s="2">
        <v>1</v>
      </c>
      <c r="E12" s="2">
        <v>0.75</v>
      </c>
      <c r="F12" s="2">
        <v>0</v>
      </c>
    </row>
    <row r="13" spans="1:6" x14ac:dyDescent="0.3">
      <c r="A13" t="s">
        <v>39</v>
      </c>
      <c r="B13" s="2">
        <v>1.38</v>
      </c>
      <c r="C13" s="1">
        <v>1.19</v>
      </c>
      <c r="D13" s="2">
        <v>1</v>
      </c>
      <c r="E13" s="2">
        <v>0.75</v>
      </c>
      <c r="F13" s="2">
        <v>0</v>
      </c>
    </row>
    <row r="14" spans="1:6" x14ac:dyDescent="0.3">
      <c r="A14" t="s">
        <v>40</v>
      </c>
      <c r="B14" s="1">
        <v>1.3587</v>
      </c>
      <c r="C14" s="1">
        <v>1.1920999999999999</v>
      </c>
      <c r="D14" s="2">
        <v>1</v>
      </c>
      <c r="E14" s="1">
        <v>0.92390000000000005</v>
      </c>
      <c r="F14" s="2">
        <v>0</v>
      </c>
    </row>
    <row r="15" spans="1:6" x14ac:dyDescent="0.3">
      <c r="A15" t="s">
        <v>16</v>
      </c>
      <c r="B15" s="1">
        <v>1.1788000000000001</v>
      </c>
      <c r="C15" s="1">
        <v>1.0891999999999999</v>
      </c>
      <c r="D15" s="2">
        <v>1</v>
      </c>
      <c r="E15" s="2">
        <v>0.85</v>
      </c>
      <c r="F15" s="2">
        <v>0</v>
      </c>
    </row>
    <row r="16" spans="1:6" x14ac:dyDescent="0.3">
      <c r="A16" t="s">
        <v>19</v>
      </c>
      <c r="B16" s="1">
        <v>1.2675000000000001</v>
      </c>
      <c r="C16" s="1">
        <v>1.0774999999999999</v>
      </c>
      <c r="D16" s="2">
        <v>1</v>
      </c>
      <c r="E16" s="1">
        <v>0.93489999999999995</v>
      </c>
      <c r="F16" s="2">
        <v>0</v>
      </c>
    </row>
    <row r="17" spans="1:6" x14ac:dyDescent="0.3">
      <c r="A17" t="s">
        <v>41</v>
      </c>
      <c r="B17" s="1">
        <v>1.2726999999999999</v>
      </c>
      <c r="C17" s="1">
        <v>1.1681999999999999</v>
      </c>
      <c r="D17" s="2">
        <v>1</v>
      </c>
      <c r="E17" s="1">
        <v>0.89549999999999996</v>
      </c>
      <c r="F17" s="2">
        <v>0</v>
      </c>
    </row>
    <row r="18" spans="1:6" x14ac:dyDescent="0.3">
      <c r="A18" t="s">
        <v>18</v>
      </c>
      <c r="B18" s="1">
        <v>1.2733000000000001</v>
      </c>
      <c r="C18" s="1">
        <v>1.1679999999999999</v>
      </c>
      <c r="D18" s="2">
        <v>1</v>
      </c>
      <c r="E18" s="1">
        <v>0.89500000000000002</v>
      </c>
      <c r="F18" s="2">
        <v>0</v>
      </c>
    </row>
    <row r="19" spans="1:6" x14ac:dyDescent="0.3">
      <c r="A19" t="s">
        <v>42</v>
      </c>
      <c r="B19" s="1">
        <v>1.1788000000000001</v>
      </c>
      <c r="C19" s="1">
        <v>1.0891</v>
      </c>
      <c r="D19" s="2">
        <v>1</v>
      </c>
      <c r="E19" s="1">
        <v>0.85489999999999999</v>
      </c>
      <c r="F19" s="2">
        <v>0</v>
      </c>
    </row>
    <row r="20" spans="1:6" x14ac:dyDescent="0.3">
      <c r="A20" t="s">
        <v>43</v>
      </c>
      <c r="B20" s="1">
        <v>1.1788000000000001</v>
      </c>
      <c r="C20" s="1">
        <v>1.0891</v>
      </c>
      <c r="D20" s="2">
        <v>1</v>
      </c>
      <c r="E20" s="1">
        <v>0.85489999999999999</v>
      </c>
      <c r="F20" s="2">
        <v>0</v>
      </c>
    </row>
    <row r="21" spans="1:6" x14ac:dyDescent="0.3">
      <c r="A21" t="s">
        <v>44</v>
      </c>
      <c r="B21" s="1">
        <v>1.2741</v>
      </c>
      <c r="C21" s="1">
        <v>1.1675</v>
      </c>
      <c r="D21" s="2">
        <v>1</v>
      </c>
      <c r="E21" s="1">
        <v>0.89339999999999997</v>
      </c>
      <c r="F2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Comendador, Leou</dc:creator>
  <cp:keywords/>
  <dc:description/>
  <cp:lastModifiedBy>Comendador, Leou</cp:lastModifiedBy>
  <cp:revision/>
  <dcterms:created xsi:type="dcterms:W3CDTF">2025-11-11T13:29:19Z</dcterms:created>
  <dcterms:modified xsi:type="dcterms:W3CDTF">2026-07-18T20:18:47Z</dcterms:modified>
  <cp:category/>
  <cp:contentStatus/>
</cp:coreProperties>
</file>