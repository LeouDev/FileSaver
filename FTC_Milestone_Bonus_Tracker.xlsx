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eou/Downloads/"/>
    </mc:Choice>
  </mc:AlternateContent>
  <xr:revisionPtr revIDLastSave="0" documentId="13_ncr:1_{268DCFD3-9E9D-004F-A444-42A1B4DC7785}" xr6:coauthVersionLast="47" xr6:coauthVersionMax="47" xr10:uidLastSave="{00000000-0000-0000-0000-000000000000}"/>
  <workbookProtection workbookPassword="C7B9" lockStructure="1"/>
  <bookViews>
    <workbookView xWindow="0" yWindow="600" windowWidth="51200" windowHeight="26360" tabRatio="500" activeTab="11" xr2:uid="{00000000-000D-0000-FFFF-FFFF00000000}"/>
  </bookViews>
  <sheets>
    <sheet name="Summary" sheetId="1" r:id="rId1"/>
    <sheet name="Tech 2.2.1 CEB" sheetId="2" r:id="rId2"/>
    <sheet name="Tech 2.2.2 CEB" sheetId="3" r:id="rId3"/>
    <sheet name="Tech 2.2.3 CEB" sheetId="4" r:id="rId4"/>
    <sheet name="Tech 2.2.4 QC" sheetId="5" r:id="rId5"/>
    <sheet name="Tech 2.2.5 CEB" sheetId="6" r:id="rId6"/>
    <sheet name="Tech 2.2.6 QC" sheetId="7" r:id="rId7"/>
    <sheet name="Tech 2.2.7 QC" sheetId="8" r:id="rId8"/>
    <sheet name="Tech 2.2.8 DVO" sheetId="9" r:id="rId9"/>
    <sheet name="Tech 2.2.9 CEB" sheetId="10" r:id="rId10"/>
    <sheet name="Tech 2.2.10 DVO" sheetId="11" r:id="rId11"/>
    <sheet name="Tech 2.2.11 Q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2" l="1"/>
  <c r="G74" i="12" s="1"/>
  <c r="F73" i="12"/>
  <c r="G73" i="12" s="1"/>
  <c r="F72" i="12"/>
  <c r="G72" i="12" s="1"/>
  <c r="F71" i="12"/>
  <c r="G71" i="12" s="1"/>
  <c r="F70" i="12"/>
  <c r="G70" i="12" s="1"/>
  <c r="F69" i="12"/>
  <c r="G69" i="12" s="1"/>
  <c r="F68" i="12"/>
  <c r="G68" i="12" s="1"/>
  <c r="F67" i="12"/>
  <c r="G67" i="12" s="1"/>
  <c r="F66" i="12"/>
  <c r="G66" i="12" s="1"/>
  <c r="F65" i="12"/>
  <c r="G65" i="12" s="1"/>
  <c r="F64" i="12"/>
  <c r="G64" i="12" s="1"/>
  <c r="F63" i="12"/>
  <c r="G63" i="12" s="1"/>
  <c r="F62" i="12"/>
  <c r="G62" i="12" s="1"/>
  <c r="F61" i="12"/>
  <c r="G61" i="12" s="1"/>
  <c r="F60" i="12"/>
  <c r="G60" i="12" s="1"/>
  <c r="F59" i="12"/>
  <c r="G59" i="12" s="1"/>
  <c r="F58" i="12"/>
  <c r="G58" i="12" s="1"/>
  <c r="F57" i="12"/>
  <c r="G57" i="12" s="1"/>
  <c r="F56" i="12"/>
  <c r="G56" i="12" s="1"/>
  <c r="F55" i="12"/>
  <c r="G55" i="12" s="1"/>
  <c r="G75" i="12" s="1"/>
  <c r="H16" i="1" s="1"/>
  <c r="F50" i="12"/>
  <c r="G50" i="12" s="1"/>
  <c r="F49" i="12"/>
  <c r="G49" i="12" s="1"/>
  <c r="F48" i="12"/>
  <c r="G48" i="12" s="1"/>
  <c r="F47" i="12"/>
  <c r="G47" i="12" s="1"/>
  <c r="F46" i="12"/>
  <c r="G46" i="12" s="1"/>
  <c r="F45" i="12"/>
  <c r="G45" i="12" s="1"/>
  <c r="F44" i="12"/>
  <c r="G44" i="12" s="1"/>
  <c r="F43" i="12"/>
  <c r="G43" i="12" s="1"/>
  <c r="F42" i="12"/>
  <c r="G42" i="12" s="1"/>
  <c r="F41" i="12"/>
  <c r="G41" i="12" s="1"/>
  <c r="F40" i="12"/>
  <c r="G40" i="12" s="1"/>
  <c r="F39" i="12"/>
  <c r="G39" i="12" s="1"/>
  <c r="F38" i="12"/>
  <c r="G38" i="12" s="1"/>
  <c r="F37" i="12"/>
  <c r="G37" i="12" s="1"/>
  <c r="F36" i="12"/>
  <c r="G36" i="12" s="1"/>
  <c r="F35" i="12"/>
  <c r="G35" i="12" s="1"/>
  <c r="F34" i="12"/>
  <c r="G34" i="12" s="1"/>
  <c r="F33" i="12"/>
  <c r="G33" i="12" s="1"/>
  <c r="F32" i="12"/>
  <c r="G32" i="12" s="1"/>
  <c r="F31" i="12"/>
  <c r="G31" i="12" s="1"/>
  <c r="G51" i="12" s="1"/>
  <c r="G16" i="1" s="1"/>
  <c r="F26" i="12"/>
  <c r="G26" i="12" s="1"/>
  <c r="F25" i="12"/>
  <c r="G25" i="12" s="1"/>
  <c r="F24" i="12"/>
  <c r="G24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K10" i="12"/>
  <c r="F10" i="12"/>
  <c r="G10" i="12" s="1"/>
  <c r="F9" i="12"/>
  <c r="G9" i="12" s="1"/>
  <c r="F8" i="12"/>
  <c r="G8" i="12" s="1"/>
  <c r="F7" i="12"/>
  <c r="G7" i="12" s="1"/>
  <c r="G27" i="12" s="1"/>
  <c r="F16" i="1" s="1"/>
  <c r="I16" i="1" s="1"/>
  <c r="K5" i="12"/>
  <c r="F74" i="11"/>
  <c r="G74" i="11" s="1"/>
  <c r="F73" i="11"/>
  <c r="G73" i="11" s="1"/>
  <c r="F72" i="11"/>
  <c r="G72" i="11" s="1"/>
  <c r="F71" i="11"/>
  <c r="G71" i="11" s="1"/>
  <c r="F70" i="11"/>
  <c r="G70" i="11" s="1"/>
  <c r="F69" i="11"/>
  <c r="G69" i="11" s="1"/>
  <c r="F68" i="11"/>
  <c r="G68" i="11" s="1"/>
  <c r="F67" i="11"/>
  <c r="G67" i="11" s="1"/>
  <c r="F66" i="11"/>
  <c r="G66" i="11" s="1"/>
  <c r="F65" i="11"/>
  <c r="G65" i="11" s="1"/>
  <c r="F64" i="11"/>
  <c r="G64" i="11" s="1"/>
  <c r="F63" i="11"/>
  <c r="G63" i="11" s="1"/>
  <c r="F62" i="11"/>
  <c r="G62" i="11" s="1"/>
  <c r="G61" i="11"/>
  <c r="F61" i="11"/>
  <c r="F60" i="11"/>
  <c r="G60" i="11" s="1"/>
  <c r="F59" i="11"/>
  <c r="G59" i="11" s="1"/>
  <c r="F58" i="11"/>
  <c r="G58" i="11" s="1"/>
  <c r="F57" i="11"/>
  <c r="G57" i="11" s="1"/>
  <c r="F56" i="11"/>
  <c r="G56" i="11" s="1"/>
  <c r="F55" i="11"/>
  <c r="G55" i="11" s="1"/>
  <c r="F50" i="11"/>
  <c r="G50" i="11" s="1"/>
  <c r="F49" i="11"/>
  <c r="G49" i="11" s="1"/>
  <c r="F48" i="11"/>
  <c r="G48" i="11" s="1"/>
  <c r="F47" i="11"/>
  <c r="G47" i="11" s="1"/>
  <c r="F46" i="11"/>
  <c r="G46" i="11" s="1"/>
  <c r="F45" i="11"/>
  <c r="G45" i="11" s="1"/>
  <c r="F44" i="11"/>
  <c r="G44" i="11" s="1"/>
  <c r="F43" i="11"/>
  <c r="G43" i="11" s="1"/>
  <c r="F42" i="11"/>
  <c r="G42" i="11" s="1"/>
  <c r="F41" i="11"/>
  <c r="G41" i="11" s="1"/>
  <c r="F40" i="11"/>
  <c r="G40" i="11" s="1"/>
  <c r="F39" i="11"/>
  <c r="G39" i="11" s="1"/>
  <c r="F38" i="11"/>
  <c r="G38" i="11" s="1"/>
  <c r="F37" i="11"/>
  <c r="G37" i="11" s="1"/>
  <c r="F36" i="11"/>
  <c r="G36" i="11" s="1"/>
  <c r="F35" i="11"/>
  <c r="G35" i="11" s="1"/>
  <c r="F34" i="11"/>
  <c r="G34" i="11" s="1"/>
  <c r="F33" i="11"/>
  <c r="G33" i="11" s="1"/>
  <c r="F32" i="11"/>
  <c r="G32" i="11" s="1"/>
  <c r="F31" i="11"/>
  <c r="G31" i="11" s="1"/>
  <c r="G51" i="11" s="1"/>
  <c r="G15" i="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K10" i="11"/>
  <c r="F10" i="11"/>
  <c r="G10" i="11" s="1"/>
  <c r="F9" i="11"/>
  <c r="G9" i="11" s="1"/>
  <c r="F8" i="11"/>
  <c r="G8" i="11" s="1"/>
  <c r="F7" i="11"/>
  <c r="G7" i="11" s="1"/>
  <c r="G27" i="11" s="1"/>
  <c r="F15" i="1" s="1"/>
  <c r="K5" i="1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G60" i="10" s="1"/>
  <c r="H14" i="1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G41" i="10" s="1"/>
  <c r="G14" i="1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K10" i="10"/>
  <c r="F10" i="10"/>
  <c r="G10" i="10" s="1"/>
  <c r="F9" i="10"/>
  <c r="G9" i="10" s="1"/>
  <c r="F8" i="10"/>
  <c r="G8" i="10" s="1"/>
  <c r="F7" i="10"/>
  <c r="G7" i="10" s="1"/>
  <c r="G22" i="10" s="1"/>
  <c r="F14" i="1" s="1"/>
  <c r="I14" i="1" s="1"/>
  <c r="K5" i="10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G75" i="9" s="1"/>
  <c r="H13" i="1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G51" i="9" s="1"/>
  <c r="G13" i="1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K12" i="9"/>
  <c r="G12" i="9"/>
  <c r="F12" i="9"/>
  <c r="F11" i="9"/>
  <c r="G11" i="9" s="1"/>
  <c r="K10" i="9"/>
  <c r="F10" i="9"/>
  <c r="G10" i="9" s="1"/>
  <c r="F9" i="9"/>
  <c r="G9" i="9" s="1"/>
  <c r="F8" i="9"/>
  <c r="G8" i="9" s="1"/>
  <c r="F7" i="9"/>
  <c r="G7" i="9" s="1"/>
  <c r="K5" i="9"/>
  <c r="K11" i="9" s="1"/>
  <c r="K13" i="9" s="1"/>
  <c r="D13" i="1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G75" i="8" s="1"/>
  <c r="H12" i="1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G51" i="8" s="1"/>
  <c r="G12" i="1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K10" i="8"/>
  <c r="F10" i="8"/>
  <c r="G10" i="8" s="1"/>
  <c r="F9" i="8"/>
  <c r="G9" i="8" s="1"/>
  <c r="F8" i="8"/>
  <c r="G8" i="8" s="1"/>
  <c r="F7" i="8"/>
  <c r="G7" i="8" s="1"/>
  <c r="G27" i="8" s="1"/>
  <c r="F12" i="1" s="1"/>
  <c r="I12" i="1" s="1"/>
  <c r="K5" i="8"/>
  <c r="F74" i="7"/>
  <c r="G74" i="7" s="1"/>
  <c r="F73" i="7"/>
  <c r="G73" i="7" s="1"/>
  <c r="F72" i="7"/>
  <c r="G72" i="7" s="1"/>
  <c r="F71" i="7"/>
  <c r="G71" i="7" s="1"/>
  <c r="F70" i="7"/>
  <c r="G70" i="7" s="1"/>
  <c r="F69" i="7"/>
  <c r="G69" i="7" s="1"/>
  <c r="G68" i="7"/>
  <c r="F68" i="7"/>
  <c r="F67" i="7"/>
  <c r="G67" i="7" s="1"/>
  <c r="F66" i="7"/>
  <c r="G66" i="7" s="1"/>
  <c r="F65" i="7"/>
  <c r="G65" i="7" s="1"/>
  <c r="F64" i="7"/>
  <c r="G64" i="7" s="1"/>
  <c r="F63" i="7"/>
  <c r="G63" i="7" s="1"/>
  <c r="F62" i="7"/>
  <c r="G62" i="7" s="1"/>
  <c r="F61" i="7"/>
  <c r="G61" i="7" s="1"/>
  <c r="F60" i="7"/>
  <c r="G60" i="7" s="1"/>
  <c r="F59" i="7"/>
  <c r="G59" i="7" s="1"/>
  <c r="F58" i="7"/>
  <c r="G58" i="7" s="1"/>
  <c r="F57" i="7"/>
  <c r="G57" i="7" s="1"/>
  <c r="F56" i="7"/>
  <c r="G56" i="7" s="1"/>
  <c r="F55" i="7"/>
  <c r="G55" i="7" s="1"/>
  <c r="G75" i="7" s="1"/>
  <c r="H11" i="1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G51" i="7" s="1"/>
  <c r="G11" i="1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K10" i="7"/>
  <c r="F10" i="7"/>
  <c r="G10" i="7" s="1"/>
  <c r="F9" i="7"/>
  <c r="G9" i="7" s="1"/>
  <c r="F8" i="7"/>
  <c r="G8" i="7" s="1"/>
  <c r="F7" i="7"/>
  <c r="G7" i="7" s="1"/>
  <c r="G27" i="7" s="1"/>
  <c r="F11" i="1" s="1"/>
  <c r="I11" i="1" s="1"/>
  <c r="K5" i="7"/>
  <c r="F74" i="6"/>
  <c r="G74" i="6" s="1"/>
  <c r="F73" i="6"/>
  <c r="G73" i="6" s="1"/>
  <c r="F72" i="6"/>
  <c r="G72" i="6" s="1"/>
  <c r="F71" i="6"/>
  <c r="G71" i="6" s="1"/>
  <c r="F70" i="6"/>
  <c r="G70" i="6" s="1"/>
  <c r="F69" i="6"/>
  <c r="G69" i="6" s="1"/>
  <c r="F68" i="6"/>
  <c r="G68" i="6" s="1"/>
  <c r="F67" i="6"/>
  <c r="G67" i="6" s="1"/>
  <c r="F66" i="6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F58" i="6"/>
  <c r="G58" i="6" s="1"/>
  <c r="F57" i="6"/>
  <c r="G57" i="6" s="1"/>
  <c r="F56" i="6"/>
  <c r="G56" i="6" s="1"/>
  <c r="F55" i="6"/>
  <c r="G55" i="6" s="1"/>
  <c r="G75" i="6" s="1"/>
  <c r="H10" i="1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G40" i="6" s="1"/>
  <c r="F39" i="6"/>
  <c r="G39" i="6" s="1"/>
  <c r="F38" i="6"/>
  <c r="G38" i="6" s="1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G51" i="6" s="1"/>
  <c r="G10" i="1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K10" i="6"/>
  <c r="F10" i="6"/>
  <c r="G10" i="6" s="1"/>
  <c r="F9" i="6"/>
  <c r="G9" i="6" s="1"/>
  <c r="F8" i="6"/>
  <c r="G8" i="6" s="1"/>
  <c r="F7" i="6"/>
  <c r="G7" i="6" s="1"/>
  <c r="G27" i="6" s="1"/>
  <c r="F10" i="1" s="1"/>
  <c r="I10" i="1" s="1"/>
  <c r="K5" i="6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G65" i="5"/>
  <c r="F65" i="5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G75" i="5" s="1"/>
  <c r="H9" i="1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G51" i="5" s="1"/>
  <c r="G9" i="1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K10" i="5"/>
  <c r="F10" i="5"/>
  <c r="G10" i="5" s="1"/>
  <c r="F9" i="5"/>
  <c r="G9" i="5" s="1"/>
  <c r="F8" i="5"/>
  <c r="G8" i="5" s="1"/>
  <c r="F7" i="5"/>
  <c r="G7" i="5" s="1"/>
  <c r="G27" i="5" s="1"/>
  <c r="F9" i="1" s="1"/>
  <c r="I9" i="1" s="1"/>
  <c r="K5" i="5"/>
  <c r="F74" i="4"/>
  <c r="G74" i="4" s="1"/>
  <c r="F73" i="4"/>
  <c r="G73" i="4" s="1"/>
  <c r="F72" i="4"/>
  <c r="G72" i="4" s="1"/>
  <c r="F71" i="4"/>
  <c r="G71" i="4" s="1"/>
  <c r="F70" i="4"/>
  <c r="G70" i="4" s="1"/>
  <c r="G69" i="4"/>
  <c r="F69" i="4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G75" i="4" s="1"/>
  <c r="H8" i="1" s="1"/>
  <c r="F50" i="4"/>
  <c r="G50" i="4" s="1"/>
  <c r="G49" i="4"/>
  <c r="F49" i="4"/>
  <c r="F48" i="4"/>
  <c r="G48" i="4" s="1"/>
  <c r="F47" i="4"/>
  <c r="G47" i="4" s="1"/>
  <c r="F46" i="4"/>
  <c r="G46" i="4" s="1"/>
  <c r="G45" i="4"/>
  <c r="F45" i="4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26" i="4"/>
  <c r="G26" i="4" s="1"/>
  <c r="F25" i="4"/>
  <c r="G25" i="4" s="1"/>
  <c r="F24" i="4"/>
  <c r="G24" i="4" s="1"/>
  <c r="F23" i="4"/>
  <c r="G23" i="4" s="1"/>
  <c r="G22" i="4"/>
  <c r="F22" i="4"/>
  <c r="F21" i="4"/>
  <c r="G21" i="4" s="1"/>
  <c r="F20" i="4"/>
  <c r="G20" i="4" s="1"/>
  <c r="G19" i="4"/>
  <c r="F19" i="4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K10" i="4"/>
  <c r="F10" i="4"/>
  <c r="G10" i="4" s="1"/>
  <c r="F9" i="4"/>
  <c r="G9" i="4" s="1"/>
  <c r="F8" i="4"/>
  <c r="G8" i="4" s="1"/>
  <c r="F7" i="4"/>
  <c r="G7" i="4" s="1"/>
  <c r="G27" i="4" s="1"/>
  <c r="F8" i="1" s="1"/>
  <c r="K5" i="4"/>
  <c r="F74" i="3"/>
  <c r="G74" i="3" s="1"/>
  <c r="F73" i="3"/>
  <c r="G73" i="3" s="1"/>
  <c r="F72" i="3"/>
  <c r="G72" i="3" s="1"/>
  <c r="F71" i="3"/>
  <c r="G71" i="3" s="1"/>
  <c r="G70" i="3"/>
  <c r="F70" i="3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G75" i="3" s="1"/>
  <c r="H7" i="1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K12" i="3"/>
  <c r="F12" i="3"/>
  <c r="G12" i="3" s="1"/>
  <c r="K11" i="3"/>
  <c r="F11" i="3"/>
  <c r="G11" i="3" s="1"/>
  <c r="K10" i="3"/>
  <c r="K13" i="3" s="1"/>
  <c r="D7" i="1" s="1"/>
  <c r="F10" i="3"/>
  <c r="G10" i="3" s="1"/>
  <c r="F9" i="3"/>
  <c r="G9" i="3" s="1"/>
  <c r="F8" i="3"/>
  <c r="G8" i="3" s="1"/>
  <c r="G7" i="3"/>
  <c r="G27" i="3" s="1"/>
  <c r="F7" i="1" s="1"/>
  <c r="F7" i="3"/>
  <c r="K5" i="3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G75" i="2" s="1"/>
  <c r="H6" i="1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G51" i="2" s="1"/>
  <c r="G6" i="1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K10" i="2"/>
  <c r="F10" i="2"/>
  <c r="G10" i="2" s="1"/>
  <c r="F9" i="2"/>
  <c r="G9" i="2" s="1"/>
  <c r="F8" i="2"/>
  <c r="G8" i="2" s="1"/>
  <c r="F7" i="2"/>
  <c r="G7" i="2" s="1"/>
  <c r="G27" i="2" s="1"/>
  <c r="F6" i="1" s="1"/>
  <c r="I6" i="1" s="1"/>
  <c r="K5" i="2"/>
  <c r="N16" i="1"/>
  <c r="M16" i="1"/>
  <c r="O16" i="1" s="1"/>
  <c r="L16" i="1"/>
  <c r="K16" i="1"/>
  <c r="J16" i="1"/>
  <c r="C16" i="1"/>
  <c r="N15" i="1"/>
  <c r="M15" i="1"/>
  <c r="O15" i="1" s="1"/>
  <c r="L15" i="1"/>
  <c r="K15" i="1"/>
  <c r="J15" i="1"/>
  <c r="C15" i="1"/>
  <c r="N14" i="1"/>
  <c r="M14" i="1"/>
  <c r="O14" i="1" s="1"/>
  <c r="L14" i="1"/>
  <c r="J14" i="1"/>
  <c r="C14" i="1"/>
  <c r="N13" i="1"/>
  <c r="M13" i="1"/>
  <c r="O13" i="1" s="1"/>
  <c r="L13" i="1"/>
  <c r="K13" i="1"/>
  <c r="J13" i="1"/>
  <c r="C13" i="1"/>
  <c r="E13" i="1" s="1"/>
  <c r="N12" i="1"/>
  <c r="M12" i="1"/>
  <c r="O12" i="1" s="1"/>
  <c r="L12" i="1"/>
  <c r="J12" i="1"/>
  <c r="C12" i="1"/>
  <c r="N11" i="1"/>
  <c r="M11" i="1"/>
  <c r="O11" i="1" s="1"/>
  <c r="L11" i="1"/>
  <c r="J11" i="1"/>
  <c r="C11" i="1"/>
  <c r="N10" i="1"/>
  <c r="M10" i="1"/>
  <c r="O10" i="1" s="1"/>
  <c r="L10" i="1"/>
  <c r="J10" i="1"/>
  <c r="C10" i="1"/>
  <c r="N9" i="1"/>
  <c r="M9" i="1"/>
  <c r="O9" i="1" s="1"/>
  <c r="L9" i="1"/>
  <c r="J9" i="1"/>
  <c r="C9" i="1"/>
  <c r="N8" i="1"/>
  <c r="M8" i="1"/>
  <c r="O8" i="1" s="1"/>
  <c r="L8" i="1"/>
  <c r="J8" i="1"/>
  <c r="C8" i="1"/>
  <c r="N7" i="1"/>
  <c r="M7" i="1"/>
  <c r="O7" i="1" s="1"/>
  <c r="L7" i="1"/>
  <c r="K7" i="1"/>
  <c r="J7" i="1"/>
  <c r="C7" i="1"/>
  <c r="E7" i="1" s="1"/>
  <c r="N6" i="1"/>
  <c r="M6" i="1"/>
  <c r="O6" i="1" s="1"/>
  <c r="L6" i="1"/>
  <c r="J6" i="1"/>
  <c r="C6" i="1"/>
  <c r="K12" i="12" l="1"/>
  <c r="K11" i="12"/>
  <c r="K13" i="12" s="1"/>
  <c r="D16" i="1" s="1"/>
  <c r="E16" i="1" s="1"/>
  <c r="K12" i="11"/>
  <c r="K11" i="11"/>
  <c r="K14" i="1"/>
  <c r="K12" i="10"/>
  <c r="K11" i="10"/>
  <c r="K13" i="10" s="1"/>
  <c r="D14" i="1" s="1"/>
  <c r="E14" i="1" s="1"/>
  <c r="K12" i="1"/>
  <c r="K11" i="8"/>
  <c r="K13" i="8" s="1"/>
  <c r="D12" i="1" s="1"/>
  <c r="E12" i="1" s="1"/>
  <c r="K12" i="8"/>
  <c r="K11" i="1"/>
  <c r="K12" i="7"/>
  <c r="K11" i="7"/>
  <c r="K13" i="7" s="1"/>
  <c r="D11" i="1" s="1"/>
  <c r="E11" i="1" s="1"/>
  <c r="K10" i="1"/>
  <c r="K11" i="6"/>
  <c r="K12" i="6"/>
  <c r="K9" i="1"/>
  <c r="K12" i="5"/>
  <c r="K11" i="5"/>
  <c r="K11" i="4"/>
  <c r="K8" i="1"/>
  <c r="K12" i="4"/>
  <c r="K11" i="2"/>
  <c r="K12" i="2"/>
  <c r="K6" i="1"/>
  <c r="G75" i="11"/>
  <c r="H15" i="1" s="1"/>
  <c r="I15" i="1" s="1"/>
  <c r="G27" i="9"/>
  <c r="F13" i="1" s="1"/>
  <c r="I13" i="1" s="1"/>
  <c r="G51" i="4"/>
  <c r="G8" i="1" s="1"/>
  <c r="I8" i="1" s="1"/>
  <c r="G51" i="3"/>
  <c r="G7" i="1" s="1"/>
  <c r="I7" i="1" s="1"/>
  <c r="I17" i="1" s="1"/>
  <c r="K13" i="6" l="1"/>
  <c r="D10" i="1" s="1"/>
  <c r="E10" i="1" s="1"/>
  <c r="K13" i="5"/>
  <c r="D9" i="1" s="1"/>
  <c r="E9" i="1" s="1"/>
  <c r="K13" i="4"/>
  <c r="D8" i="1" s="1"/>
  <c r="E8" i="1" s="1"/>
  <c r="K13" i="11"/>
  <c r="D15" i="1" s="1"/>
  <c r="E15" i="1" s="1"/>
  <c r="K13" i="2"/>
  <c r="D6" i="1" s="1"/>
  <c r="E6" i="1" s="1"/>
  <c r="E17" i="1" l="1"/>
</calcChain>
</file>

<file path=xl/sharedStrings.xml><?xml version="1.0" encoding="utf-8"?>
<sst xmlns="http://schemas.openxmlformats.org/spreadsheetml/2006/main" count="1182" uniqueCount="74">
  <si>
    <t>FTC Milestone Bonus Tracker — Summary (All Classes)</t>
  </si>
  <si>
    <t>Class</t>
  </si>
  <si>
    <t>Site</t>
  </si>
  <si>
    <t>Tech HC</t>
  </si>
  <si>
    <t>Projected Total/Employee (PHP)</t>
  </si>
  <si>
    <t>Projected Class Total (PHP)</t>
  </si>
  <si>
    <t>Actual T1 Paid (PHP)</t>
  </si>
  <si>
    <t>Actual T2 Paid (PHP)</t>
  </si>
  <si>
    <t>Actual T3 Paid (PHP)</t>
  </si>
  <si>
    <t>Actual Class Total (PHP)</t>
  </si>
  <si>
    <t>Tranche 1 Date</t>
  </si>
  <si>
    <t>Tranche 2 Date</t>
  </si>
  <si>
    <t>Tranche 3 Date</t>
  </si>
  <si>
    <t>Start Date (NEO)</t>
  </si>
  <si>
    <t>End Date (Contract End)</t>
  </si>
  <si>
    <t>Total Stay (Months + Days)</t>
  </si>
  <si>
    <t>2026 OGA Contractor Tech 2.2.1 CEB</t>
  </si>
  <si>
    <t>CEB</t>
  </si>
  <si>
    <t>2026 OGA Contractor Tech 2.2.2 CEB</t>
  </si>
  <si>
    <t>2026 OGA Contractor Tech 2.2.3 CEB</t>
  </si>
  <si>
    <t>2026 OGA Contractor Tech 2.2.4 QC</t>
  </si>
  <si>
    <t>QC</t>
  </si>
  <si>
    <t>2026 OGA Contractor Tech 2.2.5 CEB</t>
  </si>
  <si>
    <t>2026 OGA Contractor Tech 2.2.6 QC</t>
  </si>
  <si>
    <t>2026 OGA Contractor Tech 2.2.7 QC</t>
  </si>
  <si>
    <t>2026 OGA Contractor Tech 2.2.8 DVO</t>
  </si>
  <si>
    <t>DVO</t>
  </si>
  <si>
    <t>2026 OGA Contractor Tech 2.2.9 CEB</t>
  </si>
  <si>
    <t>2026 OGA Contractor Tech 2.2.10 DVO</t>
  </si>
  <si>
    <t>2026 OGA Contractor Tech 2.2.11 QC</t>
  </si>
  <si>
    <t>GRAND TOTAL</t>
  </si>
  <si>
    <t>2026 OGA Contractor Tech 2.2.1 CEB  |  Site: CEB  |  Tech HC: 20</t>
  </si>
  <si>
    <t>Milestone Schedule (input)</t>
  </si>
  <si>
    <t>Legend:</t>
  </si>
  <si>
    <t>Yellow = fill in per employee (Employee ID, Name, Scorecard Rating, With Active CAP?)</t>
  </si>
  <si>
    <t>NEO / Start Date</t>
  </si>
  <si>
    <t>Tranche 1 Date (PST+OJT Complete)</t>
  </si>
  <si>
    <t>TRANCHE 1 — Upon Passing PST + OJT</t>
  </si>
  <si>
    <t>Tranche 2 Date (+1 month)</t>
  </si>
  <si>
    <t>Supervisor</t>
  </si>
  <si>
    <t>Employee ID</t>
  </si>
  <si>
    <t>Name</t>
  </si>
  <si>
    <t>Scorecard Rating</t>
  </si>
  <si>
    <t>With Active CAP?</t>
  </si>
  <si>
    <t>Eligibility (Yes/No)</t>
  </si>
  <si>
    <t>Amount (PHP)</t>
  </si>
  <si>
    <t>Tranche 3 Date (Contract End)</t>
  </si>
  <si>
    <t>Sarah</t>
  </si>
  <si>
    <t>No</t>
  </si>
  <si>
    <t>Rate per Month (PHP)</t>
  </si>
  <si>
    <t>Tranche 1 Amount/Employee</t>
  </si>
  <si>
    <t>Tranche 2 Amount/Employee</t>
  </si>
  <si>
    <t>Tranche 3 Amount/Employee</t>
  </si>
  <si>
    <t>Total Potential/Employee</t>
  </si>
  <si>
    <t>Tech HC (from Gantt, excludes Support HC)</t>
  </si>
  <si>
    <t>Note: Tranche 1 amount = elapsed months from NEO to PST+OJT completion x PHP2,500.</t>
  </si>
  <si>
    <t>Tranche 2 = 1 month later. Tranche 3 = elapsed months from Tranche 2 to Contract End (prorated).</t>
  </si>
  <si>
    <t>Tranche 1 eligibility = no active CAP (per contract, no scorecard gate).</t>
  </si>
  <si>
    <t>Tranche 2 &amp; 3 eligibility = Scorecard &gt;=3.0 AND no active CAP.</t>
  </si>
  <si>
    <t>Row 7 on this tab (Tranche 1) shows an example — replace with real data.</t>
  </si>
  <si>
    <t>Subtotal</t>
  </si>
  <si>
    <t>TRANCHE 2 — 1 Month After Tranche 1 (Scorecard-gated)</t>
  </si>
  <si>
    <t>TRANCHE 3 — Final Tranche at Contract End (Scorecard-gated, Prorated)</t>
  </si>
  <si>
    <t>2026 OGA Contractor Tech 2.2.2 CEB  |  Site: CEB  |  Tech HC: 20</t>
  </si>
  <si>
    <t>2026 OGA Contractor Tech 2.2.3 CEB  |  Site: CEB  |  Tech HC: 20</t>
  </si>
  <si>
    <t>2026 OGA Contractor Tech 2.2.4 QC  |  Site: QC  |  Tech HC: 20</t>
  </si>
  <si>
    <t>2026 OGA Contractor Tech 2.2.5 CEB  |  Site: CEB  |  Tech HC: 20</t>
  </si>
  <si>
    <t>2026 OGA Contractor Tech 2.2.6 QC  |  Site: QC  |  Tech HC: 20</t>
  </si>
  <si>
    <t>2026 OGA Contractor Tech 2.2.7 QC  |  Site: QC  |  Tech HC: 20</t>
  </si>
  <si>
    <t>2026 OGA Contractor Tech 2.2.8 DVO  |  Site: DVO  |  Tech HC: 20</t>
  </si>
  <si>
    <t>2026 OGA Contractor Tech 2.2.9 CEB  |  Site: CEB  |  Tech HC: 15</t>
  </si>
  <si>
    <t>2026 OGA Contractor Tech 2.2.10 DVO  |  Site: DVO  |  Tech HC: 20</t>
  </si>
  <si>
    <t>2026 OGA Contractor Tech 2.2.11 QC  |  Site: QC  |  Tech HC: 20</t>
  </si>
  <si>
    <t>Jose Riza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</si>
</sst>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10"/>
      <color rgb="FF0000FF"/>
      <name val="Arial"/>
      <charset val="1"/>
    </font>
    <font>
      <i/>
      <sz val="10"/>
      <color rgb="FF808080"/>
      <name val="Arial"/>
      <charset val="1"/>
    </font>
    <font>
      <i/>
      <sz val="10"/>
      <color rgb="FF808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002060"/>
        <bgColor rgb="FF2E75B6"/>
      </patternFill>
    </fill>
    <fill>
      <patternFill patternType="solid">
        <fgColor rgb="FF002060"/>
        <bgColor rgb="FF4472C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33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10" fillId="0" borderId="0" xfId="0" applyNumberFormat="1" applyFont="1" applyProtection="1">
      <protection locked="0"/>
    </xf>
    <xf numFmtId="164" fontId="10" fillId="0" borderId="0" xfId="0" applyNumberFormat="1" applyFont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11" fillId="5" borderId="1" xfId="0" applyFont="1" applyFill="1" applyBorder="1" applyProtection="1">
      <protection locked="0"/>
    </xf>
    <xf numFmtId="165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4" fontId="4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Protection="1">
      <protection locked="0"/>
    </xf>
    <xf numFmtId="165" fontId="0" fillId="5" borderId="1" xfId="0" applyNumberForma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4" fontId="4" fillId="0" borderId="0" xfId="0" applyNumberFormat="1" applyFont="1"/>
    <xf numFmtId="0" fontId="10" fillId="0" borderId="0" xfId="0" applyFont="1"/>
    <xf numFmtId="4" fontId="7" fillId="6" borderId="1" xfId="0" applyNumberFormat="1" applyFont="1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7" fillId="6" borderId="1" xfId="0" applyFont="1" applyFill="1" applyBorder="1" applyAlignment="1">
      <alignment horizontal="right"/>
    </xf>
    <xf numFmtId="0" fontId="6" fillId="4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/>
    </xf>
    <xf numFmtId="0" fontId="0" fillId="9" borderId="2" xfId="0" applyFill="1" applyBorder="1"/>
    <xf numFmtId="0" fontId="0" fillId="9" borderId="3" xfId="0" applyFill="1" applyBorder="1"/>
    <xf numFmtId="0" fontId="6" fillId="8" borderId="1" xfId="0" applyFont="1" applyFill="1" applyBorder="1"/>
    <xf numFmtId="4" fontId="6" fillId="8" borderId="1" xfId="0" applyNumberFormat="1" applyFont="1" applyFill="1" applyBorder="1"/>
    <xf numFmtId="0" fontId="0" fillId="8" borderId="1" xfId="0" applyFill="1" applyBorder="1"/>
    <xf numFmtId="0" fontId="1" fillId="10" borderId="0" xfId="0" applyFont="1" applyFill="1" applyAlignment="1">
      <alignment horizontal="center" vertical="center" wrapText="1"/>
    </xf>
    <xf numFmtId="0" fontId="0" fillId="9" borderId="0" xfId="0" applyFill="1"/>
    <xf numFmtId="0" fontId="12" fillId="5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Normal="100" workbookViewId="0">
      <pane ySplit="5" topLeftCell="A6" activePane="bottomLeft" state="frozen"/>
      <selection pane="bottomLeft" activeCell="E47" sqref="E47"/>
    </sheetView>
  </sheetViews>
  <sheetFormatPr baseColWidth="10" defaultColWidth="8.6640625" defaultRowHeight="15" x14ac:dyDescent="0.2"/>
  <cols>
    <col min="1" max="1" width="49" customWidth="1"/>
    <col min="2" max="3" width="10" customWidth="1"/>
    <col min="4" max="4" width="19" bestFit="1" customWidth="1"/>
    <col min="5" max="5" width="16" customWidth="1"/>
    <col min="6" max="8" width="13" bestFit="1" customWidth="1"/>
    <col min="9" max="12" width="16" customWidth="1"/>
    <col min="13" max="14" width="14" customWidth="1"/>
    <col min="15" max="15" width="20" customWidth="1"/>
  </cols>
  <sheetData>
    <row r="1" spans="1:15" ht="24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5" ht="15" customHeight="1" x14ac:dyDescent="0.2">
      <c r="A3" s="26"/>
      <c r="B3" s="25"/>
      <c r="C3" s="25"/>
      <c r="D3" s="25"/>
      <c r="E3" s="25"/>
      <c r="F3" s="25"/>
      <c r="G3" s="25"/>
      <c r="H3" s="25"/>
      <c r="I3" s="25"/>
    </row>
    <row r="5" spans="1:15" ht="30" customHeight="1" x14ac:dyDescent="0.2">
      <c r="A5" s="31" t="s">
        <v>1</v>
      </c>
      <c r="B5" s="31" t="s">
        <v>2</v>
      </c>
      <c r="C5" s="31" t="s">
        <v>3</v>
      </c>
      <c r="D5" s="31" t="s">
        <v>4</v>
      </c>
      <c r="E5" s="31" t="s">
        <v>5</v>
      </c>
      <c r="F5" s="31" t="s">
        <v>6</v>
      </c>
      <c r="G5" s="31" t="s">
        <v>7</v>
      </c>
      <c r="H5" s="31" t="s">
        <v>8</v>
      </c>
      <c r="I5" s="31" t="s">
        <v>9</v>
      </c>
      <c r="J5" s="31" t="s">
        <v>10</v>
      </c>
      <c r="K5" s="31" t="s">
        <v>11</v>
      </c>
      <c r="L5" s="31" t="s">
        <v>12</v>
      </c>
      <c r="M5" s="31" t="s">
        <v>13</v>
      </c>
      <c r="N5" s="31" t="s">
        <v>14</v>
      </c>
      <c r="O5" s="31" t="s">
        <v>15</v>
      </c>
    </row>
    <row r="6" spans="1:15" ht="15" customHeight="1" x14ac:dyDescent="0.2">
      <c r="A6" s="2" t="s">
        <v>16</v>
      </c>
      <c r="B6" s="3" t="s">
        <v>17</v>
      </c>
      <c r="C6" s="3">
        <f>'Tech 2.2.1 CEB'!$K$15</f>
        <v>20</v>
      </c>
      <c r="D6" s="4">
        <f>'Tech 2.2.1 CEB'!$K$13</f>
        <v>14583.33</v>
      </c>
      <c r="E6" s="4">
        <f t="shared" ref="E6:E16" si="0">C6*D6</f>
        <v>291666.59999999998</v>
      </c>
      <c r="F6" s="4">
        <f>'Tech 2.2.1 CEB'!$G$27</f>
        <v>4083.33</v>
      </c>
      <c r="G6" s="4">
        <f>'Tech 2.2.1 CEB'!$G$51</f>
        <v>0</v>
      </c>
      <c r="H6" s="4">
        <f>'Tech 2.2.1 CEB'!$G$75</f>
        <v>0</v>
      </c>
      <c r="I6" s="4">
        <f t="shared" ref="I6:I16" si="1">SUM(F6:H6)</f>
        <v>4083.33</v>
      </c>
      <c r="J6" s="5">
        <f>'Tech 2.2.1 CEB'!$K$4</f>
        <v>46276</v>
      </c>
      <c r="K6" s="5">
        <f>'Tech 2.2.1 CEB'!$K$5</f>
        <v>46306</v>
      </c>
      <c r="L6" s="5">
        <f>'Tech 2.2.1 CEB'!$K$6</f>
        <v>46402</v>
      </c>
      <c r="M6" s="5">
        <f>'Tech 2.2.1 CEB'!$K$3</f>
        <v>46227</v>
      </c>
      <c r="N6" s="5">
        <f>'Tech 2.2.1 CEB'!$K$6</f>
        <v>46402</v>
      </c>
      <c r="O6" s="6" t="str">
        <f t="shared" ref="O6:O16" si="2">DATEDIF(M6,N6,"m")&amp;" months, "&amp;DATEDIF(M6,N6,"md")&amp;" days"</f>
        <v>5 months, 22 days</v>
      </c>
    </row>
    <row r="7" spans="1:15" ht="15" customHeight="1" x14ac:dyDescent="0.2">
      <c r="A7" s="2" t="s">
        <v>18</v>
      </c>
      <c r="B7" s="3" t="s">
        <v>17</v>
      </c>
      <c r="C7" s="3">
        <f>'Tech 2.2.2 CEB'!$K$15</f>
        <v>20</v>
      </c>
      <c r="D7" s="4">
        <f>'Tech 2.2.2 CEB'!$K$13</f>
        <v>14583.33</v>
      </c>
      <c r="E7" s="4">
        <f t="shared" si="0"/>
        <v>291666.59999999998</v>
      </c>
      <c r="F7" s="4">
        <f>'Tech 2.2.2 CEB'!$G$27</f>
        <v>0</v>
      </c>
      <c r="G7" s="4">
        <f>'Tech 2.2.2 CEB'!$G$51</f>
        <v>0</v>
      </c>
      <c r="H7" s="4">
        <f>'Tech 2.2.2 CEB'!$G$75</f>
        <v>0</v>
      </c>
      <c r="I7" s="4">
        <f t="shared" si="1"/>
        <v>0</v>
      </c>
      <c r="J7" s="5">
        <f>'Tech 2.2.2 CEB'!$K$4</f>
        <v>46297</v>
      </c>
      <c r="K7" s="5">
        <f>'Tech 2.2.2 CEB'!$K$5</f>
        <v>46328</v>
      </c>
      <c r="L7" s="5">
        <f>'Tech 2.2.2 CEB'!$K$6</f>
        <v>46423</v>
      </c>
      <c r="M7" s="5">
        <f>'Tech 2.2.2 CEB'!$K$3</f>
        <v>46248</v>
      </c>
      <c r="N7" s="5">
        <f>'Tech 2.2.2 CEB'!$K$6</f>
        <v>46423</v>
      </c>
      <c r="O7" s="6" t="str">
        <f t="shared" si="2"/>
        <v>5 months, 22 days</v>
      </c>
    </row>
    <row r="8" spans="1:15" ht="15" customHeight="1" x14ac:dyDescent="0.2">
      <c r="A8" s="2" t="s">
        <v>19</v>
      </c>
      <c r="B8" s="3" t="s">
        <v>17</v>
      </c>
      <c r="C8" s="3">
        <f>'Tech 2.2.3 CEB'!$K$15</f>
        <v>20</v>
      </c>
      <c r="D8" s="4">
        <f>'Tech 2.2.3 CEB'!$K$13</f>
        <v>14583.33</v>
      </c>
      <c r="E8" s="4">
        <f t="shared" si="0"/>
        <v>291666.59999999998</v>
      </c>
      <c r="F8" s="4">
        <f>'Tech 2.2.3 CEB'!$G$27</f>
        <v>0</v>
      </c>
      <c r="G8" s="4">
        <f>'Tech 2.2.3 CEB'!$G$51</f>
        <v>0</v>
      </c>
      <c r="H8" s="4">
        <f>'Tech 2.2.3 CEB'!$G$75</f>
        <v>0</v>
      </c>
      <c r="I8" s="4">
        <f t="shared" si="1"/>
        <v>0</v>
      </c>
      <c r="J8" s="5">
        <f>'Tech 2.2.3 CEB'!$K$4</f>
        <v>46304</v>
      </c>
      <c r="K8" s="5">
        <f>'Tech 2.2.3 CEB'!$K$5</f>
        <v>46335</v>
      </c>
      <c r="L8" s="5">
        <f>'Tech 2.2.3 CEB'!$K$6</f>
        <v>46430</v>
      </c>
      <c r="M8" s="5">
        <f>'Tech 2.2.3 CEB'!$K$3</f>
        <v>46255</v>
      </c>
      <c r="N8" s="5">
        <f>'Tech 2.2.3 CEB'!$K$6</f>
        <v>46430</v>
      </c>
      <c r="O8" s="6" t="str">
        <f t="shared" si="2"/>
        <v>5 months, 22 days</v>
      </c>
    </row>
    <row r="9" spans="1:15" ht="15" customHeight="1" x14ac:dyDescent="0.2">
      <c r="A9" s="2" t="s">
        <v>20</v>
      </c>
      <c r="B9" s="3" t="s">
        <v>21</v>
      </c>
      <c r="C9" s="3">
        <f>'Tech 2.2.4 QC'!$K$15</f>
        <v>20</v>
      </c>
      <c r="D9" s="4">
        <f>'Tech 2.2.4 QC'!$K$13</f>
        <v>14583.33</v>
      </c>
      <c r="E9" s="4">
        <f t="shared" si="0"/>
        <v>291666.59999999998</v>
      </c>
      <c r="F9" s="4">
        <f>'Tech 2.2.4 QC'!$G$27</f>
        <v>0</v>
      </c>
      <c r="G9" s="4">
        <f>'Tech 2.2.4 QC'!$G$51</f>
        <v>0</v>
      </c>
      <c r="H9" s="4">
        <f>'Tech 2.2.4 QC'!$G$75</f>
        <v>0</v>
      </c>
      <c r="I9" s="4">
        <f t="shared" si="1"/>
        <v>0</v>
      </c>
      <c r="J9" s="5">
        <f>'Tech 2.2.4 QC'!$K$4</f>
        <v>46311</v>
      </c>
      <c r="K9" s="5">
        <f>'Tech 2.2.4 QC'!$K$5</f>
        <v>46342</v>
      </c>
      <c r="L9" s="5">
        <f>'Tech 2.2.4 QC'!$K$6</f>
        <v>46437</v>
      </c>
      <c r="M9" s="5">
        <f>'Tech 2.2.4 QC'!$K$3</f>
        <v>46262</v>
      </c>
      <c r="N9" s="5">
        <f>'Tech 2.2.4 QC'!$K$6</f>
        <v>46437</v>
      </c>
      <c r="O9" s="6" t="str">
        <f t="shared" si="2"/>
        <v>5 months, 22 days</v>
      </c>
    </row>
    <row r="10" spans="1:15" ht="15" customHeight="1" x14ac:dyDescent="0.2">
      <c r="A10" s="2" t="s">
        <v>22</v>
      </c>
      <c r="B10" s="3" t="s">
        <v>17</v>
      </c>
      <c r="C10" s="3">
        <f>'Tech 2.2.5 CEB'!$K$15</f>
        <v>20</v>
      </c>
      <c r="D10" s="4">
        <f>'Tech 2.2.5 CEB'!$K$13</f>
        <v>12249.99</v>
      </c>
      <c r="E10" s="4">
        <f t="shared" si="0"/>
        <v>244999.8</v>
      </c>
      <c r="F10" s="4">
        <f>'Tech 2.2.5 CEB'!$G$27</f>
        <v>0</v>
      </c>
      <c r="G10" s="4">
        <f>'Tech 2.2.5 CEB'!$G$51</f>
        <v>0</v>
      </c>
      <c r="H10" s="4">
        <f>'Tech 2.2.5 CEB'!$G$75</f>
        <v>0</v>
      </c>
      <c r="I10" s="4">
        <f t="shared" si="1"/>
        <v>0</v>
      </c>
      <c r="J10" s="5">
        <f>'Tech 2.2.5 CEB'!$K$4</f>
        <v>46318</v>
      </c>
      <c r="K10" s="5">
        <f>'Tech 2.2.5 CEB'!$K$5</f>
        <v>46349</v>
      </c>
      <c r="L10" s="5">
        <f>'Tech 2.2.5 CEB'!$K$6</f>
        <v>46416</v>
      </c>
      <c r="M10" s="5">
        <f>'Tech 2.2.5 CEB'!$K$3</f>
        <v>46269</v>
      </c>
      <c r="N10" s="5">
        <f>'Tech 2.2.5 CEB'!$K$6</f>
        <v>46416</v>
      </c>
      <c r="O10" s="6" t="str">
        <f t="shared" si="2"/>
        <v>4 months, 25 days</v>
      </c>
    </row>
    <row r="11" spans="1:15" ht="15" customHeight="1" x14ac:dyDescent="0.2">
      <c r="A11" s="2" t="s">
        <v>23</v>
      </c>
      <c r="B11" s="3" t="s">
        <v>21</v>
      </c>
      <c r="C11" s="3">
        <f>'Tech 2.2.6 QC'!$K$15</f>
        <v>20</v>
      </c>
      <c r="D11" s="4">
        <f>'Tech 2.2.6 QC'!$K$13</f>
        <v>12249.99</v>
      </c>
      <c r="E11" s="4">
        <f t="shared" si="0"/>
        <v>244999.8</v>
      </c>
      <c r="F11" s="4">
        <f>'Tech 2.2.6 QC'!$G$27</f>
        <v>0</v>
      </c>
      <c r="G11" s="4">
        <f>'Tech 2.2.6 QC'!$G$51</f>
        <v>0</v>
      </c>
      <c r="H11" s="4">
        <f>'Tech 2.2.6 QC'!$G$75</f>
        <v>0</v>
      </c>
      <c r="I11" s="4">
        <f t="shared" si="1"/>
        <v>0</v>
      </c>
      <c r="J11" s="5">
        <f>'Tech 2.2.6 QC'!$K$4</f>
        <v>46325</v>
      </c>
      <c r="K11" s="5">
        <f>'Tech 2.2.6 QC'!$K$5</f>
        <v>46356</v>
      </c>
      <c r="L11" s="5">
        <f>'Tech 2.2.6 QC'!$K$6</f>
        <v>46423</v>
      </c>
      <c r="M11" s="5">
        <f>'Tech 2.2.6 QC'!$K$3</f>
        <v>46276</v>
      </c>
      <c r="N11" s="5">
        <f>'Tech 2.2.6 QC'!$K$6</f>
        <v>46423</v>
      </c>
      <c r="O11" s="6" t="str">
        <f t="shared" si="2"/>
        <v>4 months, 25 days</v>
      </c>
    </row>
    <row r="12" spans="1:15" ht="15" customHeight="1" x14ac:dyDescent="0.2">
      <c r="A12" s="2" t="s">
        <v>24</v>
      </c>
      <c r="B12" s="3" t="s">
        <v>21</v>
      </c>
      <c r="C12" s="3">
        <f>'Tech 2.2.7 QC'!$K$15</f>
        <v>20</v>
      </c>
      <c r="D12" s="4">
        <f>'Tech 2.2.7 QC'!$K$13</f>
        <v>12249.99</v>
      </c>
      <c r="E12" s="4">
        <f t="shared" si="0"/>
        <v>244999.8</v>
      </c>
      <c r="F12" s="4">
        <f>'Tech 2.2.7 QC'!$G$27</f>
        <v>0</v>
      </c>
      <c r="G12" s="4">
        <f>'Tech 2.2.7 QC'!$G$51</f>
        <v>0</v>
      </c>
      <c r="H12" s="4">
        <f>'Tech 2.2.7 QC'!$G$75</f>
        <v>0</v>
      </c>
      <c r="I12" s="4">
        <f t="shared" si="1"/>
        <v>0</v>
      </c>
      <c r="J12" s="5">
        <f>'Tech 2.2.7 QC'!$K$4</f>
        <v>46325</v>
      </c>
      <c r="K12" s="5">
        <f>'Tech 2.2.7 QC'!$K$5</f>
        <v>46356</v>
      </c>
      <c r="L12" s="5">
        <f>'Tech 2.2.7 QC'!$K$6</f>
        <v>46423</v>
      </c>
      <c r="M12" s="5">
        <f>'Tech 2.2.7 QC'!$K$3</f>
        <v>46276</v>
      </c>
      <c r="N12" s="5">
        <f>'Tech 2.2.7 QC'!$K$6</f>
        <v>46423</v>
      </c>
      <c r="O12" s="6" t="str">
        <f t="shared" si="2"/>
        <v>4 months, 25 days</v>
      </c>
    </row>
    <row r="13" spans="1:15" ht="15" customHeight="1" x14ac:dyDescent="0.2">
      <c r="A13" s="2" t="s">
        <v>25</v>
      </c>
      <c r="B13" s="3" t="s">
        <v>26</v>
      </c>
      <c r="C13" s="3">
        <f>'Tech 2.2.8 DVO'!$K$15</f>
        <v>20</v>
      </c>
      <c r="D13" s="4">
        <f>'Tech 2.2.8 DVO'!$K$13</f>
        <v>12250</v>
      </c>
      <c r="E13" s="4">
        <f t="shared" si="0"/>
        <v>245000</v>
      </c>
      <c r="F13" s="4">
        <f>'Tech 2.2.8 DVO'!$G$27</f>
        <v>0</v>
      </c>
      <c r="G13" s="4">
        <f>'Tech 2.2.8 DVO'!$G$51</f>
        <v>0</v>
      </c>
      <c r="H13" s="4">
        <f>'Tech 2.2.8 DVO'!$G$75</f>
        <v>0</v>
      </c>
      <c r="I13" s="4">
        <f t="shared" si="1"/>
        <v>0</v>
      </c>
      <c r="J13" s="5">
        <f>'Tech 2.2.8 DVO'!$K$4</f>
        <v>46332</v>
      </c>
      <c r="K13" s="5">
        <f>'Tech 2.2.8 DVO'!$K$5</f>
        <v>46362</v>
      </c>
      <c r="L13" s="5">
        <f>'Tech 2.2.8 DVO'!$K$6</f>
        <v>46430</v>
      </c>
      <c r="M13" s="5">
        <f>'Tech 2.2.8 DVO'!$K$3</f>
        <v>46283</v>
      </c>
      <c r="N13" s="5">
        <f>'Tech 2.2.8 DVO'!$K$6</f>
        <v>46430</v>
      </c>
      <c r="O13" s="6" t="str">
        <f t="shared" si="2"/>
        <v>4 months, 25 days</v>
      </c>
    </row>
    <row r="14" spans="1:15" ht="15" customHeight="1" x14ac:dyDescent="0.2">
      <c r="A14" s="2" t="s">
        <v>27</v>
      </c>
      <c r="B14" s="3" t="s">
        <v>17</v>
      </c>
      <c r="C14" s="3">
        <f>'Tech 2.2.9 CEB'!$K$15</f>
        <v>15</v>
      </c>
      <c r="D14" s="4">
        <f>'Tech 2.2.9 CEB'!$K$13</f>
        <v>12250</v>
      </c>
      <c r="E14" s="4">
        <f t="shared" si="0"/>
        <v>183750</v>
      </c>
      <c r="F14" s="4">
        <f>'Tech 2.2.9 CEB'!$G$22</f>
        <v>0</v>
      </c>
      <c r="G14" s="4">
        <f>'Tech 2.2.9 CEB'!$G$41</f>
        <v>0</v>
      </c>
      <c r="H14" s="4">
        <f>'Tech 2.2.9 CEB'!$G$60</f>
        <v>0</v>
      </c>
      <c r="I14" s="4">
        <f t="shared" si="1"/>
        <v>0</v>
      </c>
      <c r="J14" s="5">
        <f>'Tech 2.2.9 CEB'!$K$4</f>
        <v>46332</v>
      </c>
      <c r="K14" s="5">
        <f>'Tech 2.2.9 CEB'!$K$5</f>
        <v>46362</v>
      </c>
      <c r="L14" s="5">
        <f>'Tech 2.2.9 CEB'!$K$6</f>
        <v>46430</v>
      </c>
      <c r="M14" s="5">
        <f>'Tech 2.2.9 CEB'!$K$3</f>
        <v>46283</v>
      </c>
      <c r="N14" s="5">
        <f>'Tech 2.2.9 CEB'!$K$6</f>
        <v>46430</v>
      </c>
      <c r="O14" s="6" t="str">
        <f t="shared" si="2"/>
        <v>4 months, 25 days</v>
      </c>
    </row>
    <row r="15" spans="1:15" ht="15" customHeight="1" x14ac:dyDescent="0.2">
      <c r="A15" s="2" t="s">
        <v>28</v>
      </c>
      <c r="B15" s="3" t="s">
        <v>26</v>
      </c>
      <c r="C15" s="3">
        <f>'Tech 2.2.10 DVO'!$K$15</f>
        <v>20</v>
      </c>
      <c r="D15" s="4">
        <f>'Tech 2.2.10 DVO'!$K$13</f>
        <v>9916.66</v>
      </c>
      <c r="E15" s="4">
        <f t="shared" si="0"/>
        <v>198333.2</v>
      </c>
      <c r="F15" s="4">
        <f>'Tech 2.2.10 DVO'!$G$27</f>
        <v>0</v>
      </c>
      <c r="G15" s="4">
        <f>'Tech 2.2.10 DVO'!$G$51</f>
        <v>0</v>
      </c>
      <c r="H15" s="4">
        <f>'Tech 2.2.10 DVO'!$G$75</f>
        <v>0</v>
      </c>
      <c r="I15" s="4">
        <f t="shared" si="1"/>
        <v>0</v>
      </c>
      <c r="J15" s="5">
        <f>'Tech 2.2.10 DVO'!$K$4</f>
        <v>46353</v>
      </c>
      <c r="K15" s="5">
        <f>'Tech 2.2.10 DVO'!$K$5</f>
        <v>46383</v>
      </c>
      <c r="L15" s="5">
        <f>'Tech 2.2.10 DVO'!$K$6</f>
        <v>46423</v>
      </c>
      <c r="M15" s="5">
        <f>'Tech 2.2.10 DVO'!$K$3</f>
        <v>46304</v>
      </c>
      <c r="N15" s="5">
        <f>'Tech 2.2.10 DVO'!$K$6</f>
        <v>46423</v>
      </c>
      <c r="O15" s="6" t="str">
        <f t="shared" si="2"/>
        <v>3 months, 27 days</v>
      </c>
    </row>
    <row r="16" spans="1:15" ht="15" customHeight="1" x14ac:dyDescent="0.2">
      <c r="A16" s="2" t="s">
        <v>29</v>
      </c>
      <c r="B16" s="3" t="s">
        <v>21</v>
      </c>
      <c r="C16" s="3">
        <f>'Tech 2.2.11 QC'!$K$15</f>
        <v>20</v>
      </c>
      <c r="D16" s="4">
        <f>'Tech 2.2.11 QC'!$K$13</f>
        <v>12083.33</v>
      </c>
      <c r="E16" s="4">
        <f t="shared" si="0"/>
        <v>241666.6</v>
      </c>
      <c r="F16" s="4">
        <f>'Tech 2.2.11 QC'!$G$27</f>
        <v>0</v>
      </c>
      <c r="G16" s="4">
        <f>'Tech 2.2.11 QC'!$G$51</f>
        <v>0</v>
      </c>
      <c r="H16" s="4">
        <f>'Tech 2.2.11 QC'!$G$75</f>
        <v>0</v>
      </c>
      <c r="I16" s="4">
        <f t="shared" si="1"/>
        <v>0</v>
      </c>
      <c r="J16" s="5">
        <f>'Tech 2.2.11 QC'!$K$4</f>
        <v>46339</v>
      </c>
      <c r="K16" s="5">
        <f>'Tech 2.2.11 QC'!$K$5</f>
        <v>46369</v>
      </c>
      <c r="L16" s="5">
        <f>'Tech 2.2.11 QC'!$K$6</f>
        <v>46435</v>
      </c>
      <c r="M16" s="5">
        <f>'Tech 2.2.11 QC'!$K$3</f>
        <v>46290</v>
      </c>
      <c r="N16" s="5">
        <f>'Tech 2.2.11 QC'!$K$6</f>
        <v>46435</v>
      </c>
      <c r="O16" s="6" t="str">
        <f t="shared" si="2"/>
        <v>4 months, 23 days</v>
      </c>
    </row>
    <row r="17" spans="1:15" ht="15" customHeight="1" x14ac:dyDescent="0.2">
      <c r="A17" s="32" t="s">
        <v>30</v>
      </c>
      <c r="B17" s="33"/>
      <c r="C17" s="34"/>
      <c r="D17" s="35"/>
      <c r="E17" s="36">
        <f>SUM(E6:E16)</f>
        <v>2770415.6</v>
      </c>
      <c r="F17" s="35"/>
      <c r="G17" s="35"/>
      <c r="H17" s="35"/>
      <c r="I17" s="36">
        <f>SUM(I6:I16)</f>
        <v>4083.33</v>
      </c>
      <c r="J17" s="37"/>
      <c r="K17" s="37"/>
      <c r="L17" s="37"/>
      <c r="M17" s="37"/>
      <c r="N17" s="37"/>
      <c r="O17" s="37"/>
    </row>
  </sheetData>
  <mergeCells count="3">
    <mergeCell ref="A1:I1"/>
    <mergeCell ref="A3:I3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5"/>
  <sheetViews>
    <sheetView zoomScaleNormal="100" workbookViewId="0">
      <pane ySplit="5" topLeftCell="A6" activePane="bottomLeft" state="frozen"/>
      <selection pane="bottomLeft" activeCell="A7" sqref="A7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31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46227</v>
      </c>
    </row>
    <row r="4" spans="1:11" ht="15" customHeight="1" x14ac:dyDescent="0.2">
      <c r="J4" s="9" t="s">
        <v>36</v>
      </c>
      <c r="K4" s="10">
        <v>46276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46306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46402</v>
      </c>
    </row>
    <row r="7" spans="1:11" ht="15" customHeight="1" x14ac:dyDescent="0.2">
      <c r="A7" s="12" t="s">
        <v>47</v>
      </c>
      <c r="B7" s="13">
        <v>1805222</v>
      </c>
      <c r="C7" s="40" t="s">
        <v>73</v>
      </c>
      <c r="D7" s="14">
        <v>3.5</v>
      </c>
      <c r="E7" s="15" t="s">
        <v>48</v>
      </c>
      <c r="F7" s="3" t="str">
        <f t="shared" ref="F7:F26" si="0">IF(B7="","",IF(E7="","Pending",IF(E7="No","Yes","No")))</f>
        <v>Yes</v>
      </c>
      <c r="G7" s="16">
        <f>IF(F7="Yes",K10,0)</f>
        <v>4083.33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2500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8000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14583.33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  <c r="J21" s="26" t="s">
        <v>59</v>
      </c>
      <c r="K21" s="25"/>
      <c r="L21" s="25"/>
      <c r="M21" s="25"/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4083.33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formatColumns="0" formatRows="0" selectLockedCells="1" selectUnlockedCells="1"/>
  <mergeCells count="13">
    <mergeCell ref="A75:F75"/>
    <mergeCell ref="A27:F27"/>
    <mergeCell ref="J20:M20"/>
    <mergeCell ref="J21:M21"/>
    <mergeCell ref="A29:G29"/>
    <mergeCell ref="B3:G3"/>
    <mergeCell ref="A51:F51"/>
    <mergeCell ref="A1:G1"/>
    <mergeCell ref="J17:M17"/>
    <mergeCell ref="A53:G53"/>
    <mergeCell ref="J18:M18"/>
    <mergeCell ref="J19:M19"/>
    <mergeCell ref="A5:G5"/>
  </mergeCells>
  <dataValidations count="1">
    <dataValidation type="list" allowBlank="1" sqref="E7:E26 E55:E74 E31:E50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63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46248</v>
      </c>
    </row>
    <row r="4" spans="1:11" ht="15" customHeight="1" x14ac:dyDescent="0.2">
      <c r="J4" s="9" t="s">
        <v>36</v>
      </c>
      <c r="K4" s="10">
        <v>46297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46328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46423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7916.67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14583.33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64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46255</v>
      </c>
    </row>
    <row r="4" spans="1:11" ht="15" customHeight="1" x14ac:dyDescent="0.2">
      <c r="J4" s="9" t="s">
        <v>36</v>
      </c>
      <c r="K4" s="10">
        <v>46304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46335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46430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7916.67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14583.33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3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65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46262</v>
      </c>
    </row>
    <row r="4" spans="1:11" ht="15" customHeight="1" x14ac:dyDescent="0.2">
      <c r="J4" s="9" t="s">
        <v>36</v>
      </c>
      <c r="K4" s="10">
        <v>46311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46342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46437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7916.67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14583.33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66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46269</v>
      </c>
    </row>
    <row r="4" spans="1:11" ht="15" customHeight="1" x14ac:dyDescent="0.2">
      <c r="J4" s="9" t="s">
        <v>36</v>
      </c>
      <c r="K4" s="10">
        <v>46318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46349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46416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5583.33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12249.99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67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46276</v>
      </c>
    </row>
    <row r="4" spans="1:11" ht="15" customHeight="1" x14ac:dyDescent="0.2">
      <c r="J4" s="9" t="s">
        <v>36</v>
      </c>
      <c r="K4" s="10">
        <v>46325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46356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46423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5583.33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12249.99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68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46276</v>
      </c>
    </row>
    <row r="4" spans="1:11" ht="15" customHeight="1" x14ac:dyDescent="0.2">
      <c r="J4" s="9" t="s">
        <v>36</v>
      </c>
      <c r="K4" s="10">
        <v>46325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46356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46423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2583.33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5583.33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12249.99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7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69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46283</v>
      </c>
    </row>
    <row r="4" spans="1:11" ht="15" customHeight="1" x14ac:dyDescent="0.2">
      <c r="J4" s="9" t="s">
        <v>36</v>
      </c>
      <c r="K4" s="10">
        <v>46332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46362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46430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2500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5666.67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12250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8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0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70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46283</v>
      </c>
    </row>
    <row r="4" spans="1:11" ht="15" customHeight="1" x14ac:dyDescent="0.2">
      <c r="J4" s="9" t="s">
        <v>36</v>
      </c>
      <c r="K4" s="10">
        <v>46332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46362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46430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1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2500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5666.67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12250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15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29" t="s">
        <v>60</v>
      </c>
      <c r="B22" s="27"/>
      <c r="C22" s="27"/>
      <c r="D22" s="27"/>
      <c r="E22" s="27"/>
      <c r="F22" s="28"/>
      <c r="G22" s="23">
        <f>SUM(G7:G21)</f>
        <v>0</v>
      </c>
    </row>
    <row r="24" spans="1:13" ht="18" customHeight="1" x14ac:dyDescent="0.2">
      <c r="A24" s="30" t="s">
        <v>61</v>
      </c>
      <c r="B24" s="25"/>
      <c r="C24" s="25"/>
      <c r="D24" s="25"/>
      <c r="E24" s="25"/>
      <c r="F24" s="25"/>
      <c r="G24" s="25"/>
    </row>
    <row r="25" spans="1:13" ht="15" customHeight="1" x14ac:dyDescent="0.2">
      <c r="A25" s="1" t="s">
        <v>39</v>
      </c>
      <c r="B25" s="1" t="s">
        <v>40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45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ref="F26:F40" si="1">IF(B26="","",IF(OR(D26="",E26=""),"Pending",IF(AND(D26&gt;=3,E26="No"),"Yes","No")))</f>
        <v/>
      </c>
      <c r="G26" s="16">
        <f>IF(F26="Yes",K11,0)</f>
        <v>0</v>
      </c>
    </row>
    <row r="27" spans="1:13" ht="15" customHeight="1" x14ac:dyDescent="0.2">
      <c r="A27" s="12" t="s">
        <v>47</v>
      </c>
      <c r="B27" s="17"/>
      <c r="C27" s="17"/>
      <c r="D27" s="18"/>
      <c r="E27" s="19"/>
      <c r="F27" s="3" t="str">
        <f t="shared" si="1"/>
        <v/>
      </c>
      <c r="G27" s="16">
        <f>IF(F27="Yes",K11,0)</f>
        <v>0</v>
      </c>
    </row>
    <row r="28" spans="1:13" ht="15" customHeight="1" x14ac:dyDescent="0.2">
      <c r="A28" s="12" t="s">
        <v>47</v>
      </c>
      <c r="B28" s="17"/>
      <c r="C28" s="17"/>
      <c r="D28" s="18"/>
      <c r="E28" s="19"/>
      <c r="F28" s="3" t="str">
        <f t="shared" si="1"/>
        <v/>
      </c>
      <c r="G28" s="16">
        <f>IF(F28="Yes",K11,0)</f>
        <v>0</v>
      </c>
    </row>
    <row r="29" spans="1:13" ht="15" customHeight="1" x14ac:dyDescent="0.2">
      <c r="A29" s="12" t="s">
        <v>47</v>
      </c>
      <c r="B29" s="17"/>
      <c r="C29" s="17"/>
      <c r="D29" s="18"/>
      <c r="E29" s="19"/>
      <c r="F29" s="3" t="str">
        <f t="shared" si="1"/>
        <v/>
      </c>
      <c r="G29" s="16">
        <f>IF(F29="Yes",K11,0)</f>
        <v>0</v>
      </c>
    </row>
    <row r="30" spans="1:13" ht="15" customHeight="1" x14ac:dyDescent="0.2">
      <c r="A30" s="12" t="s">
        <v>47</v>
      </c>
      <c r="B30" s="17"/>
      <c r="C30" s="17"/>
      <c r="D30" s="18"/>
      <c r="E30" s="19"/>
      <c r="F30" s="3" t="str">
        <f t="shared" si="1"/>
        <v/>
      </c>
      <c r="G30" s="16">
        <f>IF(F30="Yes",K11,0)</f>
        <v>0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si="1"/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29" t="s">
        <v>60</v>
      </c>
      <c r="B41" s="27"/>
      <c r="C41" s="27"/>
      <c r="D41" s="27"/>
      <c r="E41" s="27"/>
      <c r="F41" s="28"/>
      <c r="G41" s="23">
        <f>SUM(G26:G40)</f>
        <v>0</v>
      </c>
    </row>
    <row r="43" spans="1:7" ht="18" customHeight="1" x14ac:dyDescent="0.2">
      <c r="A43" s="30" t="s">
        <v>62</v>
      </c>
      <c r="B43" s="25"/>
      <c r="C43" s="25"/>
      <c r="D43" s="25"/>
      <c r="E43" s="25"/>
      <c r="F43" s="25"/>
      <c r="G43" s="25"/>
    </row>
    <row r="44" spans="1:7" ht="15" customHeight="1" x14ac:dyDescent="0.2">
      <c r="A44" s="1" t="s">
        <v>39</v>
      </c>
      <c r="B44" s="1" t="s">
        <v>40</v>
      </c>
      <c r="C44" s="1" t="s">
        <v>41</v>
      </c>
      <c r="D44" s="1" t="s">
        <v>42</v>
      </c>
      <c r="E44" s="1" t="s">
        <v>43</v>
      </c>
      <c r="F44" s="1" t="s">
        <v>44</v>
      </c>
      <c r="G44" s="1" t="s">
        <v>45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ref="F45:F59" si="2">IF(B45="","",IF(OR(D45="",E45=""),"Pending",IF(AND(D45&gt;=3,E45="No"),"Yes","No")))</f>
        <v/>
      </c>
      <c r="G45" s="16">
        <f>IF(F45="Yes",K12,0)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2"/>
        <v/>
      </c>
      <c r="G46" s="16">
        <f>IF(F46="Yes",K12,0)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2"/>
        <v/>
      </c>
      <c r="G47" s="16">
        <f>IF(F47="Yes",K12,0)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2"/>
        <v/>
      </c>
      <c r="G48" s="16">
        <f>IF(F48="Yes",K12,0)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2"/>
        <v/>
      </c>
      <c r="G49" s="16">
        <f>IF(F49="Yes",K12,0)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2"/>
        <v/>
      </c>
      <c r="G50" s="16">
        <f>IF(F50="Yes",K12,0)</f>
        <v>0</v>
      </c>
    </row>
    <row r="51" spans="1:7" ht="15" customHeight="1" x14ac:dyDescent="0.2">
      <c r="A51" s="12" t="s">
        <v>47</v>
      </c>
      <c r="B51" s="17"/>
      <c r="C51" s="17"/>
      <c r="D51" s="18"/>
      <c r="E51" s="19"/>
      <c r="F51" s="3" t="str">
        <f t="shared" si="2"/>
        <v/>
      </c>
      <c r="G51" s="16">
        <f>IF(F51="Yes",K12,0)</f>
        <v>0</v>
      </c>
    </row>
    <row r="52" spans="1:7" ht="15" customHeight="1" x14ac:dyDescent="0.2">
      <c r="A52" s="12" t="s">
        <v>47</v>
      </c>
      <c r="B52" s="17"/>
      <c r="C52" s="17"/>
      <c r="D52" s="18"/>
      <c r="E52" s="19"/>
      <c r="F52" s="3" t="str">
        <f t="shared" si="2"/>
        <v/>
      </c>
      <c r="G52" s="16">
        <f>IF(F52="Yes",K12,0)</f>
        <v>0</v>
      </c>
    </row>
    <row r="53" spans="1:7" ht="15" customHeight="1" x14ac:dyDescent="0.2">
      <c r="A53" s="12" t="s">
        <v>47</v>
      </c>
      <c r="B53" s="17"/>
      <c r="C53" s="17"/>
      <c r="D53" s="18"/>
      <c r="E53" s="19"/>
      <c r="F53" s="3" t="str">
        <f t="shared" si="2"/>
        <v/>
      </c>
      <c r="G53" s="16">
        <f>IF(F53="Yes",K12,0)</f>
        <v>0</v>
      </c>
    </row>
    <row r="54" spans="1:7" ht="15" customHeight="1" x14ac:dyDescent="0.2">
      <c r="A54" s="12" t="s">
        <v>47</v>
      </c>
      <c r="B54" s="17"/>
      <c r="C54" s="17"/>
      <c r="D54" s="18"/>
      <c r="E54" s="19"/>
      <c r="F54" s="3" t="str">
        <f t="shared" si="2"/>
        <v/>
      </c>
      <c r="G54" s="16">
        <f>IF(F54="Yes",K12,0)</f>
        <v>0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si="2"/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29" t="s">
        <v>60</v>
      </c>
      <c r="B60" s="27"/>
      <c r="C60" s="27"/>
      <c r="D60" s="27"/>
      <c r="E60" s="27"/>
      <c r="F60" s="28"/>
      <c r="G60" s="23">
        <f>SUM(G45:G59)</f>
        <v>0</v>
      </c>
    </row>
  </sheetData>
  <sheetProtection password="C7B9" sheet="1" formatColumns="0" formatRows="0" selectLockedCells="1" selectUnlockedCells="1"/>
  <mergeCells count="12">
    <mergeCell ref="B3:G3"/>
    <mergeCell ref="A41:F41"/>
    <mergeCell ref="A1:G1"/>
    <mergeCell ref="A60:F60"/>
    <mergeCell ref="J17:M17"/>
    <mergeCell ref="J20:M20"/>
    <mergeCell ref="A24:G24"/>
    <mergeCell ref="A22:F22"/>
    <mergeCell ref="A43:G43"/>
    <mergeCell ref="J18:M18"/>
    <mergeCell ref="J19:M19"/>
    <mergeCell ref="A5:G5"/>
  </mergeCells>
  <dataValidations count="1">
    <dataValidation type="list" allowBlank="1" sqref="E7:E21 E45:E59 E26:E40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5"/>
  <sheetViews>
    <sheetView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71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46304</v>
      </c>
    </row>
    <row r="4" spans="1:11" ht="15" customHeight="1" x14ac:dyDescent="0.2">
      <c r="J4" s="9" t="s">
        <v>36</v>
      </c>
      <c r="K4" s="10">
        <v>46353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46383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46423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2500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3333.33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9916.66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A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5"/>
  <sheetViews>
    <sheetView tabSelected="1" zoomScaleNormal="100" workbookViewId="0">
      <pane ySplit="5" topLeftCell="A6" activePane="bottomLeft" state="frozen"/>
      <selection pane="bottomLeft" sqref="A1:G1"/>
    </sheetView>
  </sheetViews>
  <sheetFormatPr baseColWidth="10" defaultColWidth="8.6640625" defaultRowHeight="15" x14ac:dyDescent="0.2"/>
  <cols>
    <col min="1" max="2" width="14" customWidth="1"/>
    <col min="3" max="3" width="22" customWidth="1"/>
    <col min="4" max="5" width="16" customWidth="1"/>
    <col min="6" max="6" width="18" customWidth="1"/>
    <col min="7" max="7" width="14" customWidth="1"/>
    <col min="9" max="9" width="3" customWidth="1"/>
    <col min="10" max="10" width="34" customWidth="1"/>
    <col min="11" max="11" width="14" customWidth="1"/>
  </cols>
  <sheetData>
    <row r="1" spans="1:11" ht="21.75" customHeight="1" x14ac:dyDescent="0.2">
      <c r="A1" s="24" t="s">
        <v>72</v>
      </c>
      <c r="B1" s="25"/>
      <c r="C1" s="25"/>
      <c r="D1" s="25"/>
      <c r="E1" s="25"/>
      <c r="F1" s="25"/>
      <c r="G1" s="25"/>
    </row>
    <row r="2" spans="1:11" ht="15" customHeight="1" x14ac:dyDescent="0.2">
      <c r="J2" s="7" t="s">
        <v>32</v>
      </c>
    </row>
    <row r="3" spans="1:11" ht="15" customHeight="1" x14ac:dyDescent="0.2">
      <c r="A3" s="8" t="s">
        <v>33</v>
      </c>
      <c r="B3" s="26" t="s">
        <v>34</v>
      </c>
      <c r="C3" s="25"/>
      <c r="D3" s="25"/>
      <c r="E3" s="25"/>
      <c r="F3" s="25"/>
      <c r="G3" s="25"/>
      <c r="J3" s="9" t="s">
        <v>35</v>
      </c>
      <c r="K3" s="10">
        <v>46290</v>
      </c>
    </row>
    <row r="4" spans="1:11" ht="15" customHeight="1" x14ac:dyDescent="0.2">
      <c r="J4" s="9" t="s">
        <v>36</v>
      </c>
      <c r="K4" s="10">
        <v>46339</v>
      </c>
    </row>
    <row r="5" spans="1:11" ht="18" customHeight="1" x14ac:dyDescent="0.2">
      <c r="A5" s="30" t="s">
        <v>37</v>
      </c>
      <c r="B5" s="25"/>
      <c r="C5" s="25"/>
      <c r="D5" s="25"/>
      <c r="E5" s="25"/>
      <c r="F5" s="25"/>
      <c r="G5" s="25"/>
      <c r="J5" s="9" t="s">
        <v>38</v>
      </c>
      <c r="K5" s="11">
        <f>EDATE(K4,1)</f>
        <v>46369</v>
      </c>
    </row>
    <row r="6" spans="1:11" ht="15" customHeight="1" x14ac:dyDescent="0.2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J6" s="9" t="s">
        <v>46</v>
      </c>
      <c r="K6" s="10">
        <v>46435</v>
      </c>
    </row>
    <row r="7" spans="1:11" ht="15" customHeight="1" x14ac:dyDescent="0.2">
      <c r="A7" s="12" t="s">
        <v>47</v>
      </c>
      <c r="B7" s="17"/>
      <c r="C7" s="17"/>
      <c r="D7" s="18"/>
      <c r="E7" s="19"/>
      <c r="F7" s="3" t="str">
        <f t="shared" ref="F7:F26" si="0">IF(B7="","",IF(E7="","Pending",IF(E7="No","Yes","No")))</f>
        <v/>
      </c>
      <c r="G7" s="16">
        <f>IF(F7="Yes",K10,0)</f>
        <v>0</v>
      </c>
    </row>
    <row r="8" spans="1:11" ht="15" customHeight="1" x14ac:dyDescent="0.2">
      <c r="A8" s="12" t="s">
        <v>47</v>
      </c>
      <c r="B8" s="17"/>
      <c r="C8" s="17"/>
      <c r="D8" s="18"/>
      <c r="E8" s="19"/>
      <c r="F8" s="3" t="str">
        <f t="shared" si="0"/>
        <v/>
      </c>
      <c r="G8" s="16">
        <f>IF(F8="Yes",K10,0)</f>
        <v>0</v>
      </c>
      <c r="J8" s="8" t="s">
        <v>49</v>
      </c>
      <c r="K8" s="20">
        <v>2500</v>
      </c>
    </row>
    <row r="9" spans="1:11" ht="15" customHeight="1" x14ac:dyDescent="0.2">
      <c r="A9" s="12" t="s">
        <v>47</v>
      </c>
      <c r="B9" s="17"/>
      <c r="C9" s="17"/>
      <c r="D9" s="18"/>
      <c r="E9" s="19"/>
      <c r="F9" s="3" t="str">
        <f t="shared" si="0"/>
        <v/>
      </c>
      <c r="G9" s="16">
        <f>IF(F9="Yes",K10,0)</f>
        <v>0</v>
      </c>
    </row>
    <row r="10" spans="1:11" ht="15" customHeight="1" x14ac:dyDescent="0.2">
      <c r="A10" s="12" t="s">
        <v>47</v>
      </c>
      <c r="B10" s="17"/>
      <c r="C10" s="17"/>
      <c r="D10" s="18"/>
      <c r="E10" s="19"/>
      <c r="F10" s="3" t="str">
        <f t="shared" si="0"/>
        <v/>
      </c>
      <c r="G10" s="16">
        <f>IF(F10="Yes",K10,0)</f>
        <v>0</v>
      </c>
      <c r="J10" s="9" t="s">
        <v>50</v>
      </c>
      <c r="K10" s="21">
        <f>ROUND((K4-K3)/30*$K$8,2)</f>
        <v>4083.33</v>
      </c>
    </row>
    <row r="11" spans="1:11" ht="15" customHeight="1" x14ac:dyDescent="0.2">
      <c r="A11" s="12" t="s">
        <v>47</v>
      </c>
      <c r="B11" s="17"/>
      <c r="C11" s="17"/>
      <c r="D11" s="18"/>
      <c r="E11" s="19"/>
      <c r="F11" s="3" t="str">
        <f t="shared" si="0"/>
        <v/>
      </c>
      <c r="G11" s="16">
        <f>IF(F11="Yes",K10,0)</f>
        <v>0</v>
      </c>
      <c r="J11" s="9" t="s">
        <v>51</v>
      </c>
      <c r="K11" s="21">
        <f>ROUND((K5-K4)/30*$K$8,2)</f>
        <v>2500</v>
      </c>
    </row>
    <row r="12" spans="1:11" ht="15" customHeight="1" x14ac:dyDescent="0.2">
      <c r="A12" s="12" t="s">
        <v>47</v>
      </c>
      <c r="B12" s="17"/>
      <c r="C12" s="17"/>
      <c r="D12" s="18"/>
      <c r="E12" s="19"/>
      <c r="F12" s="3" t="str">
        <f t="shared" si="0"/>
        <v/>
      </c>
      <c r="G12" s="16">
        <f>IF(F12="Yes",K10,0)</f>
        <v>0</v>
      </c>
      <c r="J12" s="9" t="s">
        <v>52</v>
      </c>
      <c r="K12" s="21">
        <f>ROUND(MAX(0,(K6-K5))/30*$K$8,2)</f>
        <v>5500</v>
      </c>
    </row>
    <row r="13" spans="1:11" ht="15" customHeight="1" x14ac:dyDescent="0.2">
      <c r="A13" s="12" t="s">
        <v>47</v>
      </c>
      <c r="B13" s="17"/>
      <c r="C13" s="17"/>
      <c r="D13" s="18"/>
      <c r="E13" s="19"/>
      <c r="F13" s="3" t="str">
        <f t="shared" si="0"/>
        <v/>
      </c>
      <c r="G13" s="16">
        <f>IF(F13="Yes",K10,0)</f>
        <v>0</v>
      </c>
      <c r="J13" s="8" t="s">
        <v>53</v>
      </c>
      <c r="K13" s="21">
        <f>SUM(K10:K12)</f>
        <v>12083.33</v>
      </c>
    </row>
    <row r="14" spans="1:11" ht="15" customHeight="1" x14ac:dyDescent="0.2">
      <c r="A14" s="12" t="s">
        <v>47</v>
      </c>
      <c r="B14" s="17"/>
      <c r="C14" s="17"/>
      <c r="D14" s="18"/>
      <c r="E14" s="19"/>
      <c r="F14" s="3" t="str">
        <f t="shared" si="0"/>
        <v/>
      </c>
      <c r="G14" s="16">
        <f>IF(F14="Yes",K10,0)</f>
        <v>0</v>
      </c>
    </row>
    <row r="15" spans="1:11" ht="15" customHeight="1" x14ac:dyDescent="0.2">
      <c r="A15" s="12" t="s">
        <v>47</v>
      </c>
      <c r="B15" s="17"/>
      <c r="C15" s="17"/>
      <c r="D15" s="18"/>
      <c r="E15" s="19"/>
      <c r="F15" s="3" t="str">
        <f t="shared" si="0"/>
        <v/>
      </c>
      <c r="G15" s="16">
        <f>IF(F15="Yes",K10,0)</f>
        <v>0</v>
      </c>
      <c r="J15" s="9" t="s">
        <v>54</v>
      </c>
      <c r="K15" s="22">
        <v>20</v>
      </c>
    </row>
    <row r="16" spans="1:11" ht="15" customHeight="1" x14ac:dyDescent="0.2">
      <c r="A16" s="12" t="s">
        <v>47</v>
      </c>
      <c r="B16" s="17"/>
      <c r="C16" s="17"/>
      <c r="D16" s="18"/>
      <c r="E16" s="19"/>
      <c r="F16" s="3" t="str">
        <f t="shared" si="0"/>
        <v/>
      </c>
      <c r="G16" s="16">
        <f>IF(F16="Yes",K10,0)</f>
        <v>0</v>
      </c>
    </row>
    <row r="17" spans="1:13" ht="15" customHeight="1" x14ac:dyDescent="0.2">
      <c r="A17" s="12" t="s">
        <v>47</v>
      </c>
      <c r="B17" s="17"/>
      <c r="C17" s="17"/>
      <c r="D17" s="18"/>
      <c r="E17" s="19"/>
      <c r="F17" s="3" t="str">
        <f t="shared" si="0"/>
        <v/>
      </c>
      <c r="G17" s="16">
        <f>IF(F17="Yes",K10,0)</f>
        <v>0</v>
      </c>
      <c r="J17" s="26" t="s">
        <v>55</v>
      </c>
      <c r="K17" s="25"/>
      <c r="L17" s="25"/>
      <c r="M17" s="25"/>
    </row>
    <row r="18" spans="1:13" ht="15" customHeight="1" x14ac:dyDescent="0.2">
      <c r="A18" s="12" t="s">
        <v>47</v>
      </c>
      <c r="B18" s="17"/>
      <c r="C18" s="17"/>
      <c r="D18" s="18"/>
      <c r="E18" s="19"/>
      <c r="F18" s="3" t="str">
        <f t="shared" si="0"/>
        <v/>
      </c>
      <c r="G18" s="16">
        <f>IF(F18="Yes",K10,0)</f>
        <v>0</v>
      </c>
      <c r="J18" s="26" t="s">
        <v>56</v>
      </c>
      <c r="K18" s="25"/>
      <c r="L18" s="25"/>
      <c r="M18" s="25"/>
    </row>
    <row r="19" spans="1:13" ht="15" customHeight="1" x14ac:dyDescent="0.2">
      <c r="A19" s="12" t="s">
        <v>47</v>
      </c>
      <c r="B19" s="17"/>
      <c r="C19" s="17"/>
      <c r="D19" s="18"/>
      <c r="E19" s="19"/>
      <c r="F19" s="3" t="str">
        <f t="shared" si="0"/>
        <v/>
      </c>
      <c r="G19" s="16">
        <f>IF(F19="Yes",K10,0)</f>
        <v>0</v>
      </c>
      <c r="J19" s="26" t="s">
        <v>57</v>
      </c>
      <c r="K19" s="25"/>
      <c r="L19" s="25"/>
      <c r="M19" s="25"/>
    </row>
    <row r="20" spans="1:13" ht="15" customHeight="1" x14ac:dyDescent="0.2">
      <c r="A20" s="12" t="s">
        <v>47</v>
      </c>
      <c r="B20" s="17"/>
      <c r="C20" s="17"/>
      <c r="D20" s="18"/>
      <c r="E20" s="19"/>
      <c r="F20" s="3" t="str">
        <f t="shared" si="0"/>
        <v/>
      </c>
      <c r="G20" s="16">
        <f>IF(F20="Yes",K10,0)</f>
        <v>0</v>
      </c>
      <c r="J20" s="26" t="s">
        <v>58</v>
      </c>
      <c r="K20" s="25"/>
      <c r="L20" s="25"/>
      <c r="M20" s="25"/>
    </row>
    <row r="21" spans="1:13" ht="15" customHeight="1" x14ac:dyDescent="0.2">
      <c r="A21" s="12" t="s">
        <v>47</v>
      </c>
      <c r="B21" s="17"/>
      <c r="C21" s="17"/>
      <c r="D21" s="18"/>
      <c r="E21" s="19"/>
      <c r="F21" s="3" t="str">
        <f t="shared" si="0"/>
        <v/>
      </c>
      <c r="G21" s="16">
        <f>IF(F21="Yes",K10,0)</f>
        <v>0</v>
      </c>
    </row>
    <row r="22" spans="1:13" ht="15" customHeight="1" x14ac:dyDescent="0.2">
      <c r="A22" s="12" t="s">
        <v>47</v>
      </c>
      <c r="B22" s="17"/>
      <c r="C22" s="17"/>
      <c r="D22" s="18"/>
      <c r="E22" s="19"/>
      <c r="F22" s="3" t="str">
        <f t="shared" si="0"/>
        <v/>
      </c>
      <c r="G22" s="16">
        <f>IF(F22="Yes",K10,0)</f>
        <v>0</v>
      </c>
    </row>
    <row r="23" spans="1:13" ht="15" customHeight="1" x14ac:dyDescent="0.2">
      <c r="A23" s="12" t="s">
        <v>47</v>
      </c>
      <c r="B23" s="17"/>
      <c r="C23" s="17"/>
      <c r="D23" s="18"/>
      <c r="E23" s="19"/>
      <c r="F23" s="3" t="str">
        <f t="shared" si="0"/>
        <v/>
      </c>
      <c r="G23" s="16">
        <f>IF(F23="Yes",K10,0)</f>
        <v>0</v>
      </c>
    </row>
    <row r="24" spans="1:13" ht="15" customHeight="1" x14ac:dyDescent="0.2">
      <c r="A24" s="12" t="s">
        <v>47</v>
      </c>
      <c r="B24" s="17"/>
      <c r="C24" s="17"/>
      <c r="D24" s="18"/>
      <c r="E24" s="19"/>
      <c r="F24" s="3" t="str">
        <f t="shared" si="0"/>
        <v/>
      </c>
      <c r="G24" s="16">
        <f>IF(F24="Yes",K10,0)</f>
        <v>0</v>
      </c>
    </row>
    <row r="25" spans="1:13" ht="15" customHeight="1" x14ac:dyDescent="0.2">
      <c r="A25" s="12" t="s">
        <v>47</v>
      </c>
      <c r="B25" s="17"/>
      <c r="C25" s="17"/>
      <c r="D25" s="18"/>
      <c r="E25" s="19"/>
      <c r="F25" s="3" t="str">
        <f t="shared" si="0"/>
        <v/>
      </c>
      <c r="G25" s="16">
        <f>IF(F25="Yes",K10,0)</f>
        <v>0</v>
      </c>
    </row>
    <row r="26" spans="1:13" ht="15" customHeight="1" x14ac:dyDescent="0.2">
      <c r="A26" s="12" t="s">
        <v>47</v>
      </c>
      <c r="B26" s="17"/>
      <c r="C26" s="17"/>
      <c r="D26" s="18"/>
      <c r="E26" s="19"/>
      <c r="F26" s="3" t="str">
        <f t="shared" si="0"/>
        <v/>
      </c>
      <c r="G26" s="16">
        <f>IF(F26="Yes",K10,0)</f>
        <v>0</v>
      </c>
    </row>
    <row r="27" spans="1:13" ht="15" customHeight="1" x14ac:dyDescent="0.2">
      <c r="A27" s="29" t="s">
        <v>60</v>
      </c>
      <c r="B27" s="27"/>
      <c r="C27" s="27"/>
      <c r="D27" s="27"/>
      <c r="E27" s="27"/>
      <c r="F27" s="28"/>
      <c r="G27" s="23">
        <f>SUM(G7:G26)</f>
        <v>0</v>
      </c>
    </row>
    <row r="29" spans="1:13" ht="18" customHeight="1" x14ac:dyDescent="0.2">
      <c r="A29" s="30" t="s">
        <v>61</v>
      </c>
      <c r="B29" s="25"/>
      <c r="C29" s="25"/>
      <c r="D29" s="25"/>
      <c r="E29" s="25"/>
      <c r="F29" s="25"/>
      <c r="G29" s="25"/>
    </row>
    <row r="30" spans="1:13" ht="15" customHeight="1" x14ac:dyDescent="0.2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</row>
    <row r="31" spans="1:13" ht="15" customHeight="1" x14ac:dyDescent="0.2">
      <c r="A31" s="12" t="s">
        <v>47</v>
      </c>
      <c r="B31" s="17"/>
      <c r="C31" s="17"/>
      <c r="D31" s="18"/>
      <c r="E31" s="19"/>
      <c r="F31" s="3" t="str">
        <f t="shared" ref="F31:F50" si="1">IF(B31="","",IF(OR(D31="",E31=""),"Pending",IF(AND(D31&gt;=3,E31="No"),"Yes","No")))</f>
        <v/>
      </c>
      <c r="G31" s="16">
        <f>IF(F31="Yes",K11,0)</f>
        <v>0</v>
      </c>
    </row>
    <row r="32" spans="1:13" ht="15" customHeight="1" x14ac:dyDescent="0.2">
      <c r="A32" s="12" t="s">
        <v>47</v>
      </c>
      <c r="B32" s="17"/>
      <c r="C32" s="17"/>
      <c r="D32" s="18"/>
      <c r="E32" s="19"/>
      <c r="F32" s="3" t="str">
        <f t="shared" si="1"/>
        <v/>
      </c>
      <c r="G32" s="16">
        <f>IF(F32="Yes",K11,0)</f>
        <v>0</v>
      </c>
    </row>
    <row r="33" spans="1:7" ht="15" customHeight="1" x14ac:dyDescent="0.2">
      <c r="A33" s="12" t="s">
        <v>47</v>
      </c>
      <c r="B33" s="17"/>
      <c r="C33" s="17"/>
      <c r="D33" s="18"/>
      <c r="E33" s="19"/>
      <c r="F33" s="3" t="str">
        <f t="shared" si="1"/>
        <v/>
      </c>
      <c r="G33" s="16">
        <f>IF(F33="Yes",K11,0)</f>
        <v>0</v>
      </c>
    </row>
    <row r="34" spans="1:7" ht="15" customHeight="1" x14ac:dyDescent="0.2">
      <c r="A34" s="12" t="s">
        <v>47</v>
      </c>
      <c r="B34" s="17"/>
      <c r="C34" s="17"/>
      <c r="D34" s="18"/>
      <c r="E34" s="19"/>
      <c r="F34" s="3" t="str">
        <f t="shared" si="1"/>
        <v/>
      </c>
      <c r="G34" s="16">
        <f>IF(F34="Yes",K11,0)</f>
        <v>0</v>
      </c>
    </row>
    <row r="35" spans="1:7" ht="15" customHeight="1" x14ac:dyDescent="0.2">
      <c r="A35" s="12" t="s">
        <v>47</v>
      </c>
      <c r="B35" s="17"/>
      <c r="C35" s="17"/>
      <c r="D35" s="18"/>
      <c r="E35" s="19"/>
      <c r="F35" s="3" t="str">
        <f t="shared" si="1"/>
        <v/>
      </c>
      <c r="G35" s="16">
        <f>IF(F35="Yes",K11,0)</f>
        <v>0</v>
      </c>
    </row>
    <row r="36" spans="1:7" ht="15" customHeight="1" x14ac:dyDescent="0.2">
      <c r="A36" s="12" t="s">
        <v>47</v>
      </c>
      <c r="B36" s="17"/>
      <c r="C36" s="17"/>
      <c r="D36" s="18"/>
      <c r="E36" s="19"/>
      <c r="F36" s="3" t="str">
        <f t="shared" si="1"/>
        <v/>
      </c>
      <c r="G36" s="16">
        <f>IF(F36="Yes",K11,0)</f>
        <v>0</v>
      </c>
    </row>
    <row r="37" spans="1:7" ht="15" customHeight="1" x14ac:dyDescent="0.2">
      <c r="A37" s="12" t="s">
        <v>47</v>
      </c>
      <c r="B37" s="17"/>
      <c r="C37" s="17"/>
      <c r="D37" s="18"/>
      <c r="E37" s="19"/>
      <c r="F37" s="3" t="str">
        <f t="shared" si="1"/>
        <v/>
      </c>
      <c r="G37" s="16">
        <f>IF(F37="Yes",K11,0)</f>
        <v>0</v>
      </c>
    </row>
    <row r="38" spans="1:7" ht="15" customHeight="1" x14ac:dyDescent="0.2">
      <c r="A38" s="12" t="s">
        <v>47</v>
      </c>
      <c r="B38" s="17"/>
      <c r="C38" s="17"/>
      <c r="D38" s="18"/>
      <c r="E38" s="19"/>
      <c r="F38" s="3" t="str">
        <f t="shared" si="1"/>
        <v/>
      </c>
      <c r="G38" s="16">
        <f>IF(F38="Yes",K11,0)</f>
        <v>0</v>
      </c>
    </row>
    <row r="39" spans="1:7" ht="15" customHeight="1" x14ac:dyDescent="0.2">
      <c r="A39" s="12" t="s">
        <v>47</v>
      </c>
      <c r="B39" s="17"/>
      <c r="C39" s="17"/>
      <c r="D39" s="18"/>
      <c r="E39" s="19"/>
      <c r="F39" s="3" t="str">
        <f t="shared" si="1"/>
        <v/>
      </c>
      <c r="G39" s="16">
        <f>IF(F39="Yes",K11,0)</f>
        <v>0</v>
      </c>
    </row>
    <row r="40" spans="1:7" ht="15" customHeight="1" x14ac:dyDescent="0.2">
      <c r="A40" s="12" t="s">
        <v>47</v>
      </c>
      <c r="B40" s="17"/>
      <c r="C40" s="17"/>
      <c r="D40" s="18"/>
      <c r="E40" s="19"/>
      <c r="F40" s="3" t="str">
        <f t="shared" si="1"/>
        <v/>
      </c>
      <c r="G40" s="16">
        <f>IF(F40="Yes",K11,0)</f>
        <v>0</v>
      </c>
    </row>
    <row r="41" spans="1:7" ht="15" customHeight="1" x14ac:dyDescent="0.2">
      <c r="A41" s="12" t="s">
        <v>47</v>
      </c>
      <c r="B41" s="17"/>
      <c r="C41" s="17"/>
      <c r="D41" s="18"/>
      <c r="E41" s="19"/>
      <c r="F41" s="3" t="str">
        <f t="shared" si="1"/>
        <v/>
      </c>
      <c r="G41" s="16">
        <f>IF(F41="Yes",K11,0)</f>
        <v>0</v>
      </c>
    </row>
    <row r="42" spans="1:7" ht="15" customHeight="1" x14ac:dyDescent="0.2">
      <c r="A42" s="12" t="s">
        <v>47</v>
      </c>
      <c r="B42" s="17"/>
      <c r="C42" s="17"/>
      <c r="D42" s="18"/>
      <c r="E42" s="19"/>
      <c r="F42" s="3" t="str">
        <f t="shared" si="1"/>
        <v/>
      </c>
      <c r="G42" s="16">
        <f>IF(F42="Yes",K11,0)</f>
        <v>0</v>
      </c>
    </row>
    <row r="43" spans="1:7" ht="15" customHeight="1" x14ac:dyDescent="0.2">
      <c r="A43" s="12" t="s">
        <v>47</v>
      </c>
      <c r="B43" s="17"/>
      <c r="C43" s="17"/>
      <c r="D43" s="18"/>
      <c r="E43" s="19"/>
      <c r="F43" s="3" t="str">
        <f t="shared" si="1"/>
        <v/>
      </c>
      <c r="G43" s="16">
        <f>IF(F43="Yes",K11,0)</f>
        <v>0</v>
      </c>
    </row>
    <row r="44" spans="1:7" ht="15" customHeight="1" x14ac:dyDescent="0.2">
      <c r="A44" s="12" t="s">
        <v>47</v>
      </c>
      <c r="B44" s="17"/>
      <c r="C44" s="17"/>
      <c r="D44" s="18"/>
      <c r="E44" s="19"/>
      <c r="F44" s="3" t="str">
        <f t="shared" si="1"/>
        <v/>
      </c>
      <c r="G44" s="16">
        <f>IF(F44="Yes",K11,0)</f>
        <v>0</v>
      </c>
    </row>
    <row r="45" spans="1:7" ht="15" customHeight="1" x14ac:dyDescent="0.2">
      <c r="A45" s="12" t="s">
        <v>47</v>
      </c>
      <c r="B45" s="17"/>
      <c r="C45" s="17"/>
      <c r="D45" s="18"/>
      <c r="E45" s="19"/>
      <c r="F45" s="3" t="str">
        <f t="shared" si="1"/>
        <v/>
      </c>
      <c r="G45" s="16">
        <f>IF(F45="Yes",K11,0)</f>
        <v>0</v>
      </c>
    </row>
    <row r="46" spans="1:7" ht="15" customHeight="1" x14ac:dyDescent="0.2">
      <c r="A46" s="12" t="s">
        <v>47</v>
      </c>
      <c r="B46" s="17"/>
      <c r="C46" s="17"/>
      <c r="D46" s="18"/>
      <c r="E46" s="19"/>
      <c r="F46" s="3" t="str">
        <f t="shared" si="1"/>
        <v/>
      </c>
      <c r="G46" s="16">
        <f>IF(F46="Yes",K11,0)</f>
        <v>0</v>
      </c>
    </row>
    <row r="47" spans="1:7" ht="15" customHeight="1" x14ac:dyDescent="0.2">
      <c r="A47" s="12" t="s">
        <v>47</v>
      </c>
      <c r="B47" s="17"/>
      <c r="C47" s="17"/>
      <c r="D47" s="18"/>
      <c r="E47" s="19"/>
      <c r="F47" s="3" t="str">
        <f t="shared" si="1"/>
        <v/>
      </c>
      <c r="G47" s="16">
        <f>IF(F47="Yes",K11,0)</f>
        <v>0</v>
      </c>
    </row>
    <row r="48" spans="1:7" ht="15" customHeight="1" x14ac:dyDescent="0.2">
      <c r="A48" s="12" t="s">
        <v>47</v>
      </c>
      <c r="B48" s="17"/>
      <c r="C48" s="17"/>
      <c r="D48" s="18"/>
      <c r="E48" s="19"/>
      <c r="F48" s="3" t="str">
        <f t="shared" si="1"/>
        <v/>
      </c>
      <c r="G48" s="16">
        <f>IF(F48="Yes",K11,0)</f>
        <v>0</v>
      </c>
    </row>
    <row r="49" spans="1:7" ht="15" customHeight="1" x14ac:dyDescent="0.2">
      <c r="A49" s="12" t="s">
        <v>47</v>
      </c>
      <c r="B49" s="17"/>
      <c r="C49" s="17"/>
      <c r="D49" s="18"/>
      <c r="E49" s="19"/>
      <c r="F49" s="3" t="str">
        <f t="shared" si="1"/>
        <v/>
      </c>
      <c r="G49" s="16">
        <f>IF(F49="Yes",K11,0)</f>
        <v>0</v>
      </c>
    </row>
    <row r="50" spans="1:7" ht="15" customHeight="1" x14ac:dyDescent="0.2">
      <c r="A50" s="12" t="s">
        <v>47</v>
      </c>
      <c r="B50" s="17"/>
      <c r="C50" s="17"/>
      <c r="D50" s="18"/>
      <c r="E50" s="19"/>
      <c r="F50" s="3" t="str">
        <f t="shared" si="1"/>
        <v/>
      </c>
      <c r="G50" s="16">
        <f>IF(F50="Yes",K11,0)</f>
        <v>0</v>
      </c>
    </row>
    <row r="51" spans="1:7" ht="15" customHeight="1" x14ac:dyDescent="0.2">
      <c r="A51" s="29" t="s">
        <v>60</v>
      </c>
      <c r="B51" s="27"/>
      <c r="C51" s="27"/>
      <c r="D51" s="27"/>
      <c r="E51" s="27"/>
      <c r="F51" s="28"/>
      <c r="G51" s="23">
        <f>SUM(G31:G50)</f>
        <v>0</v>
      </c>
    </row>
    <row r="53" spans="1:7" ht="18" customHeight="1" x14ac:dyDescent="0.2">
      <c r="A53" s="30" t="s">
        <v>62</v>
      </c>
      <c r="B53" s="25"/>
      <c r="C53" s="25"/>
      <c r="D53" s="25"/>
      <c r="E53" s="25"/>
      <c r="F53" s="25"/>
      <c r="G53" s="25"/>
    </row>
    <row r="54" spans="1:7" ht="15" customHeight="1" x14ac:dyDescent="0.2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 s="1" t="s">
        <v>44</v>
      </c>
      <c r="G54" s="1" t="s">
        <v>45</v>
      </c>
    </row>
    <row r="55" spans="1:7" ht="15" customHeight="1" x14ac:dyDescent="0.2">
      <c r="A55" s="12" t="s">
        <v>47</v>
      </c>
      <c r="B55" s="17"/>
      <c r="C55" s="17"/>
      <c r="D55" s="18"/>
      <c r="E55" s="19"/>
      <c r="F55" s="3" t="str">
        <f t="shared" ref="F55:F74" si="2">IF(B55="","",IF(OR(D55="",E55=""),"Pending",IF(AND(D55&gt;=3,E55="No"),"Yes","No")))</f>
        <v/>
      </c>
      <c r="G55" s="16">
        <f>IF(F55="Yes",K12,0)</f>
        <v>0</v>
      </c>
    </row>
    <row r="56" spans="1:7" ht="15" customHeight="1" x14ac:dyDescent="0.2">
      <c r="A56" s="12" t="s">
        <v>47</v>
      </c>
      <c r="B56" s="17"/>
      <c r="C56" s="17"/>
      <c r="D56" s="18"/>
      <c r="E56" s="19"/>
      <c r="F56" s="3" t="str">
        <f t="shared" si="2"/>
        <v/>
      </c>
      <c r="G56" s="16">
        <f>IF(F56="Yes",K12,0)</f>
        <v>0</v>
      </c>
    </row>
    <row r="57" spans="1:7" ht="15" customHeight="1" x14ac:dyDescent="0.2">
      <c r="A57" s="12" t="s">
        <v>47</v>
      </c>
      <c r="B57" s="17"/>
      <c r="C57" s="17"/>
      <c r="D57" s="18"/>
      <c r="E57" s="19"/>
      <c r="F57" s="3" t="str">
        <f t="shared" si="2"/>
        <v/>
      </c>
      <c r="G57" s="16">
        <f>IF(F57="Yes",K12,0)</f>
        <v>0</v>
      </c>
    </row>
    <row r="58" spans="1:7" ht="15" customHeight="1" x14ac:dyDescent="0.2">
      <c r="A58" s="12" t="s">
        <v>47</v>
      </c>
      <c r="B58" s="17"/>
      <c r="C58" s="17"/>
      <c r="D58" s="18"/>
      <c r="E58" s="19"/>
      <c r="F58" s="3" t="str">
        <f t="shared" si="2"/>
        <v/>
      </c>
      <c r="G58" s="16">
        <f>IF(F58="Yes",K12,0)</f>
        <v>0</v>
      </c>
    </row>
    <row r="59" spans="1:7" ht="15" customHeight="1" x14ac:dyDescent="0.2">
      <c r="A59" s="12" t="s">
        <v>47</v>
      </c>
      <c r="B59" s="17"/>
      <c r="C59" s="17"/>
      <c r="D59" s="18"/>
      <c r="E59" s="19"/>
      <c r="F59" s="3" t="str">
        <f t="shared" si="2"/>
        <v/>
      </c>
      <c r="G59" s="16">
        <f>IF(F59="Yes",K12,0)</f>
        <v>0</v>
      </c>
    </row>
    <row r="60" spans="1:7" ht="15" customHeight="1" x14ac:dyDescent="0.2">
      <c r="A60" s="12" t="s">
        <v>47</v>
      </c>
      <c r="B60" s="17"/>
      <c r="C60" s="17"/>
      <c r="D60" s="18"/>
      <c r="E60" s="19"/>
      <c r="F60" s="3" t="str">
        <f t="shared" si="2"/>
        <v/>
      </c>
      <c r="G60" s="16">
        <f>IF(F60="Yes",K12,0)</f>
        <v>0</v>
      </c>
    </row>
    <row r="61" spans="1:7" ht="15" customHeight="1" x14ac:dyDescent="0.2">
      <c r="A61" s="12" t="s">
        <v>47</v>
      </c>
      <c r="B61" s="17"/>
      <c r="C61" s="17"/>
      <c r="D61" s="18"/>
      <c r="E61" s="19"/>
      <c r="F61" s="3" t="str">
        <f t="shared" si="2"/>
        <v/>
      </c>
      <c r="G61" s="16">
        <f>IF(F61="Yes",K12,0)</f>
        <v>0</v>
      </c>
    </row>
    <row r="62" spans="1:7" ht="15" customHeight="1" x14ac:dyDescent="0.2">
      <c r="A62" s="12" t="s">
        <v>47</v>
      </c>
      <c r="B62" s="17"/>
      <c r="C62" s="17"/>
      <c r="D62" s="18"/>
      <c r="E62" s="19"/>
      <c r="F62" s="3" t="str">
        <f t="shared" si="2"/>
        <v/>
      </c>
      <c r="G62" s="16">
        <f>IF(F62="Yes",K12,0)</f>
        <v>0</v>
      </c>
    </row>
    <row r="63" spans="1:7" ht="15" customHeight="1" x14ac:dyDescent="0.2">
      <c r="A63" s="12" t="s">
        <v>47</v>
      </c>
      <c r="B63" s="17"/>
      <c r="C63" s="17"/>
      <c r="D63" s="18"/>
      <c r="E63" s="19"/>
      <c r="F63" s="3" t="str">
        <f t="shared" si="2"/>
        <v/>
      </c>
      <c r="G63" s="16">
        <f>IF(F63="Yes",K12,0)</f>
        <v>0</v>
      </c>
    </row>
    <row r="64" spans="1:7" ht="15" customHeight="1" x14ac:dyDescent="0.2">
      <c r="A64" s="12" t="s">
        <v>47</v>
      </c>
      <c r="B64" s="17"/>
      <c r="C64" s="17"/>
      <c r="D64" s="18"/>
      <c r="E64" s="19"/>
      <c r="F64" s="3" t="str">
        <f t="shared" si="2"/>
        <v/>
      </c>
      <c r="G64" s="16">
        <f>IF(F64="Yes",K12,0)</f>
        <v>0</v>
      </c>
    </row>
    <row r="65" spans="1:7" ht="15" customHeight="1" x14ac:dyDescent="0.2">
      <c r="A65" s="12" t="s">
        <v>47</v>
      </c>
      <c r="B65" s="17"/>
      <c r="C65" s="17"/>
      <c r="D65" s="18"/>
      <c r="E65" s="19"/>
      <c r="F65" s="3" t="str">
        <f t="shared" si="2"/>
        <v/>
      </c>
      <c r="G65" s="16">
        <f>IF(F65="Yes",K12,0)</f>
        <v>0</v>
      </c>
    </row>
    <row r="66" spans="1:7" ht="15" customHeight="1" x14ac:dyDescent="0.2">
      <c r="A66" s="12" t="s">
        <v>47</v>
      </c>
      <c r="B66" s="17"/>
      <c r="C66" s="17"/>
      <c r="D66" s="18"/>
      <c r="E66" s="19"/>
      <c r="F66" s="3" t="str">
        <f t="shared" si="2"/>
        <v/>
      </c>
      <c r="G66" s="16">
        <f>IF(F66="Yes",K12,0)</f>
        <v>0</v>
      </c>
    </row>
    <row r="67" spans="1:7" ht="15" customHeight="1" x14ac:dyDescent="0.2">
      <c r="A67" s="12" t="s">
        <v>47</v>
      </c>
      <c r="B67" s="17"/>
      <c r="C67" s="17"/>
      <c r="D67" s="18"/>
      <c r="E67" s="19"/>
      <c r="F67" s="3" t="str">
        <f t="shared" si="2"/>
        <v/>
      </c>
      <c r="G67" s="16">
        <f>IF(F67="Yes",K12,0)</f>
        <v>0</v>
      </c>
    </row>
    <row r="68" spans="1:7" ht="15" customHeight="1" x14ac:dyDescent="0.2">
      <c r="A68" s="12" t="s">
        <v>47</v>
      </c>
      <c r="B68" s="17"/>
      <c r="C68" s="17"/>
      <c r="D68" s="18"/>
      <c r="E68" s="19"/>
      <c r="F68" s="3" t="str">
        <f t="shared" si="2"/>
        <v/>
      </c>
      <c r="G68" s="16">
        <f>IF(F68="Yes",K12,0)</f>
        <v>0</v>
      </c>
    </row>
    <row r="69" spans="1:7" ht="15" customHeight="1" x14ac:dyDescent="0.2">
      <c r="A69" s="12" t="s">
        <v>47</v>
      </c>
      <c r="B69" s="17"/>
      <c r="C69" s="17"/>
      <c r="D69" s="18"/>
      <c r="E69" s="19"/>
      <c r="F69" s="3" t="str">
        <f t="shared" si="2"/>
        <v/>
      </c>
      <c r="G69" s="16">
        <f>IF(F69="Yes",K12,0)</f>
        <v>0</v>
      </c>
    </row>
    <row r="70" spans="1:7" ht="15" customHeight="1" x14ac:dyDescent="0.2">
      <c r="A70" s="12" t="s">
        <v>47</v>
      </c>
      <c r="B70" s="17"/>
      <c r="C70" s="17"/>
      <c r="D70" s="18"/>
      <c r="E70" s="19"/>
      <c r="F70" s="3" t="str">
        <f t="shared" si="2"/>
        <v/>
      </c>
      <c r="G70" s="16">
        <f>IF(F70="Yes",K12,0)</f>
        <v>0</v>
      </c>
    </row>
    <row r="71" spans="1:7" ht="15" customHeight="1" x14ac:dyDescent="0.2">
      <c r="A71" s="12" t="s">
        <v>47</v>
      </c>
      <c r="B71" s="17"/>
      <c r="C71" s="17"/>
      <c r="D71" s="18"/>
      <c r="E71" s="19"/>
      <c r="F71" s="3" t="str">
        <f t="shared" si="2"/>
        <v/>
      </c>
      <c r="G71" s="16">
        <f>IF(F71="Yes",K12,0)</f>
        <v>0</v>
      </c>
    </row>
    <row r="72" spans="1:7" ht="15" customHeight="1" x14ac:dyDescent="0.2">
      <c r="A72" s="12" t="s">
        <v>47</v>
      </c>
      <c r="B72" s="17"/>
      <c r="C72" s="17"/>
      <c r="D72" s="18"/>
      <c r="E72" s="19"/>
      <c r="F72" s="3" t="str">
        <f t="shared" si="2"/>
        <v/>
      </c>
      <c r="G72" s="16">
        <f>IF(F72="Yes",K12,0)</f>
        <v>0</v>
      </c>
    </row>
    <row r="73" spans="1:7" ht="15" customHeight="1" x14ac:dyDescent="0.2">
      <c r="A73" s="12" t="s">
        <v>47</v>
      </c>
      <c r="B73" s="17"/>
      <c r="C73" s="17"/>
      <c r="D73" s="18"/>
      <c r="E73" s="19"/>
      <c r="F73" s="3" t="str">
        <f t="shared" si="2"/>
        <v/>
      </c>
      <c r="G73" s="16">
        <f>IF(F73="Yes",K12,0)</f>
        <v>0</v>
      </c>
    </row>
    <row r="74" spans="1:7" ht="15" customHeight="1" x14ac:dyDescent="0.2">
      <c r="A74" s="12" t="s">
        <v>47</v>
      </c>
      <c r="B74" s="17"/>
      <c r="C74" s="17"/>
      <c r="D74" s="18"/>
      <c r="E74" s="19"/>
      <c r="F74" s="3" t="str">
        <f t="shared" si="2"/>
        <v/>
      </c>
      <c r="G74" s="16">
        <f>IF(F74="Yes",K12,0)</f>
        <v>0</v>
      </c>
    </row>
    <row r="75" spans="1:7" ht="15" customHeight="1" x14ac:dyDescent="0.2">
      <c r="A75" s="29" t="s">
        <v>60</v>
      </c>
      <c r="B75" s="27"/>
      <c r="C75" s="27"/>
      <c r="D75" s="27"/>
      <c r="E75" s="27"/>
      <c r="F75" s="28"/>
      <c r="G75" s="23">
        <f>SUM(G55:G74)</f>
        <v>0</v>
      </c>
    </row>
  </sheetData>
  <sheetProtection password="C7B9" sheet="1" formatColumns="0" formatRows="0" selectLockedCells="1" selectUnlockedCells="1"/>
  <mergeCells count="12">
    <mergeCell ref="A75:F75"/>
    <mergeCell ref="A27:F27"/>
    <mergeCell ref="J20:M20"/>
    <mergeCell ref="A29:G29"/>
    <mergeCell ref="J18:M18"/>
    <mergeCell ref="J19:M19"/>
    <mergeCell ref="B3:G3"/>
    <mergeCell ref="A51:F51"/>
    <mergeCell ref="A1:G1"/>
    <mergeCell ref="J17:M17"/>
    <mergeCell ref="A53:G53"/>
    <mergeCell ref="A5:G5"/>
  </mergeCells>
  <dataValidations count="1">
    <dataValidation type="list" allowBlank="1" sqref="E7:E26 E55:E74 E31:E50" xr:uid="{00000000-0002-0000-0B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Tech 2.2.1 CEB</vt:lpstr>
      <vt:lpstr>Tech 2.2.2 CEB</vt:lpstr>
      <vt:lpstr>Tech 2.2.3 CEB</vt:lpstr>
      <vt:lpstr>Tech 2.2.4 QC</vt:lpstr>
      <vt:lpstr>Tech 2.2.5 CEB</vt:lpstr>
      <vt:lpstr>Tech 2.2.6 QC</vt:lpstr>
      <vt:lpstr>Tech 2.2.7 QC</vt:lpstr>
      <vt:lpstr>Tech 2.2.8 DVO</vt:lpstr>
      <vt:lpstr>Tech 2.2.9 CEB</vt:lpstr>
      <vt:lpstr>Tech 2.2.10 DVO</vt:lpstr>
      <vt:lpstr>Tech 2.2.11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office10264</cp:lastModifiedBy>
  <cp:revision>0</cp:revision>
  <dcterms:created xsi:type="dcterms:W3CDTF">2026-08-07T00:39:31Z</dcterms:created>
  <dcterms:modified xsi:type="dcterms:W3CDTF">2026-08-07T01:04:27Z</dcterms:modified>
  <dc:language>en-US</dc:language>
</cp:coreProperties>
</file>